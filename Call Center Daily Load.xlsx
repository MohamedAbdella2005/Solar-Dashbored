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w993\Downloads\"/>
    </mc:Choice>
  </mc:AlternateContent>
  <xr:revisionPtr revIDLastSave="0" documentId="13_ncr:1_{7B641F3B-88F8-48DA-AFC6-EAA8E4E660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nel Schedule Summary" sheetId="1" r:id="rId1"/>
    <sheet name="24-Hour Load Profile" sheetId="2" r:id="rId2"/>
    <sheet name="solar gen 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B32" i="3"/>
  <c r="E32" i="3" s="1"/>
  <c r="A32" i="3"/>
  <c r="H9" i="2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8" i="2"/>
  <c r="C29" i="2"/>
  <c r="D29" i="2"/>
  <c r="B29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B6" i="2"/>
  <c r="B7" i="2"/>
  <c r="E7" i="2" s="1"/>
  <c r="B8" i="2"/>
  <c r="E8" i="2" s="1"/>
  <c r="B9" i="2"/>
  <c r="E9" i="2" s="1"/>
  <c r="B10" i="2"/>
  <c r="E10" i="2" s="1"/>
  <c r="B11" i="2"/>
  <c r="E11" i="2" s="1"/>
  <c r="B12" i="2"/>
  <c r="E12" i="2" s="1"/>
  <c r="B13" i="2"/>
  <c r="E13" i="2" s="1"/>
  <c r="B14" i="2"/>
  <c r="E14" i="2" s="1"/>
  <c r="B15" i="2"/>
  <c r="E15" i="2" s="1"/>
  <c r="B16" i="2"/>
  <c r="E16" i="2" s="1"/>
  <c r="B17" i="2"/>
  <c r="E17" i="2" s="1"/>
  <c r="B18" i="2"/>
  <c r="E18" i="2" s="1"/>
  <c r="B19" i="2"/>
  <c r="E19" i="2" s="1"/>
  <c r="B20" i="2"/>
  <c r="E20" i="2" s="1"/>
  <c r="B21" i="2"/>
  <c r="E21" i="2" s="1"/>
  <c r="B22" i="2"/>
  <c r="E22" i="2" s="1"/>
  <c r="B23" i="2"/>
  <c r="E23" i="2" s="1"/>
  <c r="B24" i="2"/>
  <c r="E24" i="2" s="1"/>
  <c r="B25" i="2"/>
  <c r="E25" i="2" s="1"/>
  <c r="B26" i="2"/>
  <c r="E26" i="2" s="1"/>
  <c r="B27" i="2"/>
  <c r="E27" i="2" s="1"/>
  <c r="B28" i="2"/>
  <c r="E28" i="2" s="1"/>
  <c r="C14" i="1"/>
  <c r="C15" i="1" s="1"/>
  <c r="E13" i="1"/>
  <c r="E12" i="1"/>
  <c r="E11" i="1"/>
  <c r="E10" i="1"/>
  <c r="E9" i="1"/>
  <c r="E8" i="1"/>
  <c r="E7" i="1"/>
  <c r="E6" i="1"/>
  <c r="E5" i="1"/>
  <c r="E4" i="1"/>
  <c r="H6" i="2" l="1"/>
  <c r="C32" i="3"/>
  <c r="D32" i="3" s="1"/>
  <c r="E6" i="2"/>
  <c r="B5" i="2"/>
  <c r="E14" i="1"/>
  <c r="E15" i="1" s="1"/>
  <c r="C5" i="2"/>
  <c r="D5" i="2"/>
  <c r="E5" i="2" l="1"/>
  <c r="E29" i="2" l="1"/>
  <c r="G29" i="2" l="1"/>
  <c r="B32" i="2"/>
  <c r="A32" i="2"/>
  <c r="E32" i="2" l="1"/>
  <c r="C32" i="2"/>
  <c r="D32" i="2" s="1"/>
</calcChain>
</file>

<file path=xl/sharedStrings.xml><?xml version="1.0" encoding="utf-8"?>
<sst xmlns="http://schemas.openxmlformats.org/spreadsheetml/2006/main" count="136" uniqueCount="79">
  <si>
    <t>Panel Name</t>
  </si>
  <si>
    <t>Load Type</t>
  </si>
  <si>
    <t>Connected Load (kVA)</t>
  </si>
  <si>
    <t>Demand Factor (DF)</t>
  </si>
  <si>
    <t>Demand Load (kVA)</t>
  </si>
  <si>
    <t>LP-G1</t>
  </si>
  <si>
    <t>Normal Lighting</t>
  </si>
  <si>
    <t>LP-G2</t>
  </si>
  <si>
    <t>ELP-G1</t>
  </si>
  <si>
    <t>Emergency Lighting</t>
  </si>
  <si>
    <t>ELP-G2</t>
  </si>
  <si>
    <t>PP-G</t>
  </si>
  <si>
    <t>Normal Power (Sockets)</t>
  </si>
  <si>
    <t>PP-G1</t>
  </si>
  <si>
    <t>EPP-G</t>
  </si>
  <si>
    <t>Emergency Power (Sockets)</t>
  </si>
  <si>
    <t>HVAC-G1</t>
  </si>
  <si>
    <t>Air Conditioning</t>
  </si>
  <si>
    <t>HVAC-G2</t>
  </si>
  <si>
    <t>HVAC-G3</t>
  </si>
  <si>
    <t>Total (1 Floor)</t>
  </si>
  <si>
    <t>—</t>
  </si>
  <si>
    <t>Total Building (3 Floors)</t>
  </si>
  <si>
    <t>Hour</t>
  </si>
  <si>
    <t>Lighting (kVA)</t>
  </si>
  <si>
    <t>Power Sockets (kVA)</t>
  </si>
  <si>
    <t>HVAC (kVA)</t>
  </si>
  <si>
    <t>Total Hourly Load (kVA)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</si>
  <si>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</si>
  <si>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</si>
  <si>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</si>
  <si>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</si>
  <si>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</si>
  <si>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</si>
  <si>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</si>
  <si>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</si>
  <si>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</si>
  <si>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</si>
  <si>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</si>
  <si>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</si>
  <si>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</si>
  <si>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</si>
  <si>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</si>
  <si>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</si>
  <si>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</si>
  <si>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</si>
  <si>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</si>
  <si>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</si>
  <si>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</si>
  <si>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</si>
  <si>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</si>
  <si>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</si>
  <si>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Average / Total</t>
  </si>
  <si>
    <t>Load factor</t>
  </si>
  <si>
    <t>PF</t>
  </si>
  <si>
    <t>Total Hourly Load (KW)</t>
  </si>
  <si>
    <t>MAX  Load KW</t>
  </si>
  <si>
    <t>Energy KW</t>
  </si>
  <si>
    <t>average load KW</t>
  </si>
  <si>
    <t>cost K</t>
  </si>
  <si>
    <t>Call Center Building Daily Load Summary (3Identical Floor)</t>
  </si>
  <si>
    <t>load energy curve</t>
  </si>
  <si>
    <t>Building Load (kW)</t>
  </si>
  <si>
    <t>Solar Generation (kW)</t>
  </si>
  <si>
    <t>Self-Consumed Solar (kW)</t>
  </si>
  <si>
    <t>Net Load / Grid Import (kW)</t>
  </si>
  <si>
    <t>Solar Share (%)</t>
  </si>
  <si>
    <t>Grid Dependency (%)</t>
  </si>
  <si>
    <t>Load Share (%)</t>
  </si>
  <si>
    <t>Status / Peak</t>
  </si>
  <si>
    <t>Night Load</t>
  </si>
  <si>
    <t>Day Operation</t>
  </si>
  <si>
    <t>Total Energy (kWh/day)</t>
  </si>
  <si>
    <t>Daily Totals</t>
  </si>
  <si>
    <t>MAX  Load Grid KW</t>
  </si>
  <si>
    <t>Energy Grid KW</t>
  </si>
  <si>
    <t>average load Grid KW</t>
  </si>
  <si>
    <t>Smart Energy Monitoring and Management - Call Center Building  (3 Identical Floors)</t>
  </si>
  <si>
    <t>Call Center Building Electrical Panels Summary (Ground Floor)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</si>
</sst>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\2"/>
    <numFmt numFmtId="166" formatCode="0.0%"/>
  </numFmts>
  <fonts count="17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1"/>
      <color rgb="FF333333"/>
      <name val="Arial"/>
      <family val="2"/>
    </font>
    <font>
      <b/>
      <sz val="24"/>
      <color rgb="FFFFFFFF"/>
      <name val="Arial"/>
      <family val="2"/>
    </font>
    <font>
      <sz val="8"/>
      <name val="Calibri"/>
      <family val="2"/>
      <scheme val="minor"/>
    </font>
    <font>
      <sz val="12"/>
      <name val="Arial"/>
      <family val="2"/>
    </font>
    <font>
      <b/>
      <i/>
      <u/>
      <sz val="14"/>
      <color rgb="FFFFFF00"/>
      <name val="Calibri"/>
      <family val="2"/>
      <scheme val="minor"/>
    </font>
    <font>
      <b/>
      <sz val="14"/>
      <color rgb="FFFFFFFF"/>
      <name val="Arial"/>
      <family val="2"/>
    </font>
    <font>
      <b/>
      <sz val="14"/>
      <name val="Arial"/>
      <family val="2"/>
    </font>
    <font>
      <b/>
      <sz val="14"/>
      <color rgb="FFFF0000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  <font>
      <sz val="16"/>
      <name val="Arial"/>
      <family val="2"/>
    </font>
    <font>
      <b/>
      <sz val="14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  <fill>
      <patternFill patternType="solid">
        <fgColor rgb="FFD9E1F2"/>
        <bgColor rgb="FFD9E1F2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7" tint="-0.499984740745262"/>
        <bgColor rgb="FF2F5597"/>
      </patternFill>
    </fill>
    <fill>
      <patternFill patternType="solid">
        <fgColor theme="7" tint="-0.499984740745262"/>
        <bgColor rgb="FF1B365D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rgb="FFD9E1F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theme="4"/>
      </patternFill>
    </fill>
    <fill>
      <patternFill patternType="solid">
        <fgColor theme="7" tint="0.59999389629810485"/>
        <bgColor theme="4" tint="0.5999938962981048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D9E1F2"/>
      </patternFill>
    </fill>
    <fill>
      <patternFill patternType="solid">
        <fgColor theme="7" tint="0.59999389629810485"/>
        <bgColor rgb="FFFFC7CE"/>
      </patternFill>
    </fill>
    <fill>
      <patternFill patternType="solid">
        <fgColor theme="0"/>
        <bgColor rgb="FFFFFFFF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right" vertical="center"/>
    </xf>
    <xf numFmtId="2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0" fillId="0" borderId="0" xfId="0" applyNumberFormat="1"/>
    <xf numFmtId="0" fontId="13" fillId="6" borderId="1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4" fontId="8" fillId="2" borderId="7" xfId="0" applyNumberFormat="1" applyFont="1" applyFill="1" applyBorder="1" applyAlignment="1">
      <alignment horizontal="center" vertical="center"/>
    </xf>
    <xf numFmtId="166" fontId="8" fillId="2" borderId="7" xfId="0" applyNumberFormat="1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4" fontId="8" fillId="3" borderId="7" xfId="0" applyNumberFormat="1" applyFont="1" applyFill="1" applyBorder="1" applyAlignment="1">
      <alignment horizontal="center" vertical="center"/>
    </xf>
    <xf numFmtId="166" fontId="8" fillId="3" borderId="7" xfId="0" applyNumberFormat="1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4" fontId="11" fillId="9" borderId="7" xfId="0" applyNumberFormat="1" applyFont="1" applyFill="1" applyBorder="1" applyAlignment="1">
      <alignment horizontal="center" vertical="center"/>
    </xf>
    <xf numFmtId="166" fontId="11" fillId="9" borderId="7" xfId="0" applyNumberFormat="1" applyFont="1" applyFill="1" applyBorder="1" applyAlignment="1">
      <alignment horizontal="center" vertical="center"/>
    </xf>
    <xf numFmtId="0" fontId="9" fillId="11" borderId="8" xfId="0" applyFont="1" applyFill="1" applyBorder="1" applyAlignment="1">
      <alignment horizontal="center"/>
    </xf>
    <xf numFmtId="0" fontId="9" fillId="11" borderId="9" xfId="0" applyFont="1" applyFill="1" applyBorder="1" applyAlignment="1">
      <alignment horizontal="center"/>
    </xf>
    <xf numFmtId="0" fontId="9" fillId="11" borderId="10" xfId="0" applyFont="1" applyFill="1" applyBorder="1" applyAlignment="1">
      <alignment horizontal="center"/>
    </xf>
    <xf numFmtId="2" fontId="12" fillId="12" borderId="11" xfId="0" applyNumberFormat="1" applyFont="1" applyFill="1" applyBorder="1" applyAlignment="1">
      <alignment horizontal="center"/>
    </xf>
    <xf numFmtId="2" fontId="12" fillId="12" borderId="12" xfId="0" applyNumberFormat="1" applyFont="1" applyFill="1" applyBorder="1" applyAlignment="1">
      <alignment horizontal="center"/>
    </xf>
    <xf numFmtId="2" fontId="12" fillId="12" borderId="13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/>
    </xf>
    <xf numFmtId="4" fontId="15" fillId="2" borderId="1" xfId="0" applyNumberFormat="1" applyFont="1" applyFill="1" applyBorder="1" applyAlignment="1">
      <alignment horizontal="center" vertical="center"/>
    </xf>
    <xf numFmtId="4" fontId="15" fillId="2" borderId="3" xfId="0" applyNumberFormat="1" applyFont="1" applyFill="1" applyBorder="1" applyAlignment="1">
      <alignment horizontal="center" vertical="center"/>
    </xf>
    <xf numFmtId="4" fontId="15" fillId="3" borderId="5" xfId="0" applyNumberFormat="1" applyFont="1" applyFill="1" applyBorder="1" applyAlignment="1">
      <alignment horizontal="center" vertical="center"/>
    </xf>
    <xf numFmtId="4" fontId="15" fillId="3" borderId="1" xfId="0" applyNumberFormat="1" applyFont="1" applyFill="1" applyBorder="1" applyAlignment="1">
      <alignment horizontal="center" vertical="center"/>
    </xf>
    <xf numFmtId="4" fontId="15" fillId="3" borderId="6" xfId="0" applyNumberFormat="1" applyFont="1" applyFill="1" applyBorder="1" applyAlignment="1">
      <alignment horizontal="center" vertical="center"/>
    </xf>
    <xf numFmtId="0" fontId="5" fillId="14" borderId="0" xfId="0" applyFont="1" applyFill="1" applyAlignment="1">
      <alignment vertical="center"/>
    </xf>
    <xf numFmtId="0" fontId="0" fillId="13" borderId="0" xfId="0" applyFill="1"/>
    <xf numFmtId="0" fontId="10" fillId="6" borderId="4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/>
    </xf>
    <xf numFmtId="4" fontId="16" fillId="14" borderId="1" xfId="0" applyNumberFormat="1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/>
    </xf>
    <xf numFmtId="2" fontId="12" fillId="13" borderId="0" xfId="0" applyNumberFormat="1" applyFont="1" applyFill="1" applyAlignment="1">
      <alignment horizontal="center"/>
    </xf>
    <xf numFmtId="2" fontId="16" fillId="14" borderId="1" xfId="0" applyNumberFormat="1" applyFont="1" applyFill="1" applyBorder="1" applyAlignment="1">
      <alignment horizontal="center" vertical="center"/>
    </xf>
    <xf numFmtId="4" fontId="15" fillId="2" borderId="7" xfId="0" applyNumberFormat="1" applyFont="1" applyFill="1" applyBorder="1" applyAlignment="1">
      <alignment horizontal="center" vertical="center"/>
    </xf>
    <xf numFmtId="4" fontId="15" fillId="3" borderId="7" xfId="0" applyNumberFormat="1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164" fontId="14" fillId="15" borderId="1" xfId="0" applyNumberFormat="1" applyFont="1" applyFill="1" applyBorder="1" applyAlignment="1">
      <alignment horizontal="right" vertical="center"/>
    </xf>
    <xf numFmtId="165" fontId="14" fillId="15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15" fillId="16" borderId="2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8" borderId="0" xfId="0" applyFill="1"/>
    <xf numFmtId="0" fontId="5" fillId="9" borderId="0" xfId="0" applyFont="1" applyFill="1" applyAlignment="1">
      <alignment horizontal="center" vertical="center"/>
    </xf>
    <xf numFmtId="0" fontId="0" fillId="10" borderId="0" xfId="0" applyFill="1"/>
    <xf numFmtId="0" fontId="6" fillId="7" borderId="0" xfId="0" applyFont="1" applyFill="1" applyAlignment="1">
      <alignment horizontal="center" vertical="center"/>
    </xf>
  </cellXfs>
  <cellStyles count="1">
    <cellStyle name="Normal" xfId="0" builtinId="0"/>
  </cellStyles>
  <dxfs count="20">
    <dxf>
      <font>
        <b/>
        <strike val="0"/>
        <outline val="0"/>
        <shadow val="0"/>
        <u val="none"/>
        <vertAlign val="baseline"/>
        <sz val="14"/>
        <color rgb="FFFF0000"/>
        <name val="Calibri"/>
        <family val="2"/>
        <scheme val="minor"/>
      </font>
      <numFmt numFmtId="2" formatCode="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FF0000"/>
        <name val="Calibri"/>
        <family val="2"/>
        <scheme val="minor"/>
      </font>
      <numFmt numFmtId="2" formatCode="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FF0000"/>
        <name val="Calibri"/>
        <family val="2"/>
        <scheme val="minor"/>
      </font>
      <numFmt numFmtId="2" formatCode="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FF0000"/>
        <name val="Calibri"/>
        <family val="2"/>
        <scheme val="minor"/>
      </font>
      <numFmt numFmtId="2" formatCode="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FF0000"/>
        <name val="Calibri"/>
        <family val="2"/>
        <scheme val="minor"/>
      </font>
      <numFmt numFmtId="2" formatCode="0.00"/>
      <fill>
        <patternFill patternType="solid">
          <fgColor indexed="64"/>
          <bgColor theme="7" tint="0.59999389629810485"/>
        </patternFill>
      </fill>
    </dxf>
    <dxf>
      <font>
        <strike val="0"/>
        <outline val="0"/>
        <shadow val="0"/>
        <u val="none"/>
        <vertAlign val="baseline"/>
        <sz val="14"/>
        <color rgb="FFFF0000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</dxf>
    <dxf>
      <font>
        <strike val="0"/>
        <outline val="0"/>
        <shadow val="0"/>
        <u/>
        <vertAlign val="baseline"/>
        <sz val="14"/>
        <color rgb="FFFFFF0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4" formatCode="#,##0.00"/>
      <fill>
        <patternFill patternType="solid">
          <fgColor rgb="FFF2F5F9"/>
          <bgColor rgb="FFF2F5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4" formatCode="#,##0.00"/>
      <fill>
        <patternFill patternType="solid">
          <fgColor rgb="FFF2F5F9"/>
          <bgColor rgb="FFF2F5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4" formatCode="#,##0.00"/>
      <fill>
        <patternFill patternType="solid">
          <fgColor rgb="FFF2F5F9"/>
          <bgColor rgb="FFF2F5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D9D9D9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4" formatCode="#,##0.00"/>
      <fill>
        <patternFill patternType="solid">
          <fgColor rgb="FFF2F5F9"/>
          <bgColor rgb="FFF2F5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4" formatCode="#,##0.00"/>
      <fill>
        <patternFill patternType="solid">
          <fgColor rgb="FFF2F5F9"/>
          <bgColor rgb="FFF2F5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4" formatCode="#,##0.00"/>
      <fill>
        <patternFill patternType="solid">
          <fgColor rgb="FFF2F5F9"/>
          <bgColor rgb="FFF2F5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4" formatCode="#,##0.00"/>
      <fill>
        <patternFill patternType="solid">
          <fgColor rgb="FFF2F5F9"/>
          <bgColor rgb="FFF2F5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solid">
          <fgColor rgb="FFFFFFFF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solid">
          <fgColor rgb="FFF2F5F9"/>
          <bgColor rgb="FFF2F5F9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Arial"/>
        <scheme val="none"/>
      </font>
      <fill>
        <patternFill patternType="solid">
          <fgColor rgb="FF2F5597"/>
          <bgColor theme="7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83949899063554"/>
          <c:y val="0.13603426808235311"/>
          <c:w val="0.83687478746016519"/>
          <c:h val="0.5737023544319671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'24-Hour Load Profile'!$A$5:$A$28</c:f>
              <c:strCache>
                <c:ptCount val="24"/>
                <c:pt idx="0">
                  <c:v>00:00 - 01:00</c:v>
                </c:pt>
                <c:pt idx="1">
                  <c:v>01:00 - 02:00</c:v>
                </c:pt>
                <c:pt idx="2">
                  <c:v>02:00 - 03:00</c:v>
                </c:pt>
                <c:pt idx="3">
                  <c:v>03:00 - 04:00</c:v>
                </c:pt>
                <c:pt idx="4">
                  <c:v>04:00 - 05:00</c:v>
                </c:pt>
                <c:pt idx="5">
                  <c:v>05:00 - 06:00</c:v>
                </c:pt>
                <c:pt idx="6">
                  <c:v>06:00 - 07:00</c:v>
                </c:pt>
                <c:pt idx="7">
                  <c:v>07:00 - 08:00</c:v>
                </c:pt>
                <c:pt idx="8">
                  <c:v>08:00 - 09:00</c:v>
                </c:pt>
                <c:pt idx="9">
                  <c:v>09:00 - 10:00</c:v>
                </c:pt>
                <c:pt idx="10">
                  <c:v>10:00 - 11:00</c:v>
                </c:pt>
                <c:pt idx="11">
                  <c:v>11:00 - 12:00</c:v>
                </c:pt>
                <c:pt idx="12">
                  <c:v>12:00 - 13:00</c:v>
                </c:pt>
                <c:pt idx="13">
                  <c:v>13:00 - 14:00</c:v>
                </c:pt>
                <c:pt idx="14">
                  <c:v>14:00 - 15:00</c:v>
                </c:pt>
                <c:pt idx="15">
                  <c:v>15:00 - 16:00</c:v>
                </c:pt>
                <c:pt idx="16">
                  <c:v>16:00 - 17:00</c:v>
                </c:pt>
                <c:pt idx="17">
                  <c:v>17:00 - 18:00</c:v>
                </c:pt>
                <c:pt idx="18">
                  <c:v>18:00 - 19:00</c:v>
                </c:pt>
                <c:pt idx="19">
                  <c:v>19:00 - 20:00</c:v>
                </c:pt>
                <c:pt idx="20">
                  <c:v>20:00 - 21:00</c:v>
                </c:pt>
                <c:pt idx="21">
                  <c:v>21:00 - 22:00</c:v>
                </c:pt>
                <c:pt idx="22">
                  <c:v>22:00 - 23:00</c:v>
                </c:pt>
                <c:pt idx="23">
                  <c:v>23:00 - 00:00</c:v>
                </c:pt>
              </c:strCache>
            </c:strRef>
          </c:cat>
          <c:val>
            <c:numRef>
              <c:f>'24-Hour Load Profile'!$H$5:$H$28</c:f>
              <c:numCache>
                <c:formatCode>#,##0.00</c:formatCode>
                <c:ptCount val="24"/>
                <c:pt idx="0">
                  <c:v>144.35</c:v>
                </c:pt>
                <c:pt idx="1">
                  <c:v>289.18</c:v>
                </c:pt>
                <c:pt idx="2">
                  <c:v>433.77</c:v>
                </c:pt>
                <c:pt idx="3">
                  <c:v>578.36</c:v>
                </c:pt>
                <c:pt idx="4">
                  <c:v>722.95</c:v>
                </c:pt>
                <c:pt idx="5">
                  <c:v>909.30000000000007</c:v>
                </c:pt>
                <c:pt idx="6">
                  <c:v>1204.49</c:v>
                </c:pt>
                <c:pt idx="7">
                  <c:v>1745.74</c:v>
                </c:pt>
                <c:pt idx="8">
                  <c:v>2485.44</c:v>
                </c:pt>
                <c:pt idx="9">
                  <c:v>3305.66</c:v>
                </c:pt>
                <c:pt idx="10">
                  <c:v>4125.88</c:v>
                </c:pt>
                <c:pt idx="11">
                  <c:v>4928.1499999999996</c:v>
                </c:pt>
                <c:pt idx="12">
                  <c:v>5712.4699999999993</c:v>
                </c:pt>
                <c:pt idx="13">
                  <c:v>6514.74</c:v>
                </c:pt>
                <c:pt idx="14">
                  <c:v>7334.96</c:v>
                </c:pt>
                <c:pt idx="15">
                  <c:v>8155.18</c:v>
                </c:pt>
                <c:pt idx="16">
                  <c:v>8857.4700000000012</c:v>
                </c:pt>
                <c:pt idx="17">
                  <c:v>9359.8200000000015</c:v>
                </c:pt>
                <c:pt idx="18">
                  <c:v>9716.0700000000015</c:v>
                </c:pt>
                <c:pt idx="19">
                  <c:v>10008.250000000002</c:v>
                </c:pt>
                <c:pt idx="20">
                  <c:v>10236.360000000002</c:v>
                </c:pt>
                <c:pt idx="21">
                  <c:v>10422.710000000003</c:v>
                </c:pt>
                <c:pt idx="22">
                  <c:v>10586.750000000004</c:v>
                </c:pt>
                <c:pt idx="23">
                  <c:v>10731.340000000004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43-4982-9C71-E9B936B3E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1807600"/>
        <c:axId val="1526215008"/>
      </c:lineChart>
      <c:catAx>
        <c:axId val="152180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15008"/>
        <c:crosses val="autoZero"/>
        <c:auto val="1"/>
        <c:lblAlgn val="ctr"/>
        <c:lblOffset val="100"/>
        <c:noMultiLvlLbl val="0"/>
      </c:catAx>
      <c:valAx>
        <c:axId val="152621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80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'24-Hour Load Profile'!$A$5:$A$28</c:f>
              <c:strCache>
                <c:ptCount val="24"/>
                <c:pt idx="0">
                  <c:v>00:00 - 01:00</c:v>
                </c:pt>
                <c:pt idx="1">
                  <c:v>01:00 - 02:00</c:v>
                </c:pt>
                <c:pt idx="2">
                  <c:v>02:00 - 03:00</c:v>
                </c:pt>
                <c:pt idx="3">
                  <c:v>03:00 - 04:00</c:v>
                </c:pt>
                <c:pt idx="4">
                  <c:v>04:00 - 05:00</c:v>
                </c:pt>
                <c:pt idx="5">
                  <c:v>05:00 - 06:00</c:v>
                </c:pt>
                <c:pt idx="6">
                  <c:v>06:00 - 07:00</c:v>
                </c:pt>
                <c:pt idx="7">
                  <c:v>07:00 - 08:00</c:v>
                </c:pt>
                <c:pt idx="8">
                  <c:v>08:00 - 09:00</c:v>
                </c:pt>
                <c:pt idx="9">
                  <c:v>09:00 - 10:00</c:v>
                </c:pt>
                <c:pt idx="10">
                  <c:v>10:00 - 11:00</c:v>
                </c:pt>
                <c:pt idx="11">
                  <c:v>11:00 - 12:00</c:v>
                </c:pt>
                <c:pt idx="12">
                  <c:v>12:00 - 13:00</c:v>
                </c:pt>
                <c:pt idx="13">
                  <c:v>13:00 - 14:00</c:v>
                </c:pt>
                <c:pt idx="14">
                  <c:v>14:00 - 15:00</c:v>
                </c:pt>
                <c:pt idx="15">
                  <c:v>15:00 - 16:00</c:v>
                </c:pt>
                <c:pt idx="16">
                  <c:v>16:00 - 17:00</c:v>
                </c:pt>
                <c:pt idx="17">
                  <c:v>17:00 - 18:00</c:v>
                </c:pt>
                <c:pt idx="18">
                  <c:v>18:00 - 19:00</c:v>
                </c:pt>
                <c:pt idx="19">
                  <c:v>19:00 - 20:00</c:v>
                </c:pt>
                <c:pt idx="20">
                  <c:v>20:00 - 21:00</c:v>
                </c:pt>
                <c:pt idx="21">
                  <c:v>21:00 - 22:00</c:v>
                </c:pt>
                <c:pt idx="22">
                  <c:v>22:00 - 23:00</c:v>
                </c:pt>
                <c:pt idx="23">
                  <c:v>23:00 - 00:00</c:v>
                </c:pt>
              </c:strCache>
            </c:strRef>
          </c:cat>
          <c:val>
            <c:numRef>
              <c:f>'24-Hour Load Profile'!$G$5:$G$28</c:f>
              <c:numCache>
                <c:formatCode>#,##0.00</c:formatCode>
                <c:ptCount val="24"/>
                <c:pt idx="0">
                  <c:v>144.59</c:v>
                </c:pt>
                <c:pt idx="1">
                  <c:v>144.59</c:v>
                </c:pt>
                <c:pt idx="2">
                  <c:v>144.59</c:v>
                </c:pt>
                <c:pt idx="3">
                  <c:v>144.59</c:v>
                </c:pt>
                <c:pt idx="4">
                  <c:v>144.59</c:v>
                </c:pt>
                <c:pt idx="5">
                  <c:v>186.35</c:v>
                </c:pt>
                <c:pt idx="6">
                  <c:v>295.19</c:v>
                </c:pt>
                <c:pt idx="7">
                  <c:v>541.25</c:v>
                </c:pt>
                <c:pt idx="8">
                  <c:v>739.7</c:v>
                </c:pt>
                <c:pt idx="9">
                  <c:v>820.22</c:v>
                </c:pt>
                <c:pt idx="10">
                  <c:v>820.22</c:v>
                </c:pt>
                <c:pt idx="11">
                  <c:v>802.27</c:v>
                </c:pt>
                <c:pt idx="12">
                  <c:v>784.32</c:v>
                </c:pt>
                <c:pt idx="13">
                  <c:v>802.27</c:v>
                </c:pt>
                <c:pt idx="14">
                  <c:v>820.22</c:v>
                </c:pt>
                <c:pt idx="15">
                  <c:v>820.22</c:v>
                </c:pt>
                <c:pt idx="16">
                  <c:v>702.29</c:v>
                </c:pt>
                <c:pt idx="17">
                  <c:v>502.35</c:v>
                </c:pt>
                <c:pt idx="18">
                  <c:v>356.25</c:v>
                </c:pt>
                <c:pt idx="19">
                  <c:v>292.18</c:v>
                </c:pt>
                <c:pt idx="20">
                  <c:v>228.11</c:v>
                </c:pt>
                <c:pt idx="21">
                  <c:v>186.35</c:v>
                </c:pt>
                <c:pt idx="22">
                  <c:v>164.04</c:v>
                </c:pt>
                <c:pt idx="23">
                  <c:v>144.59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51-4B3F-A16B-56193517F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411424"/>
        <c:axId val="1520403104"/>
      </c:lineChart>
      <c:catAx>
        <c:axId val="152041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403104"/>
        <c:crosses val="autoZero"/>
        <c:auto val="1"/>
        <c:lblAlgn val="ctr"/>
        <c:lblOffset val="100"/>
        <c:noMultiLvlLbl val="0"/>
      </c:catAx>
      <c:valAx>
        <c:axId val="152040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41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'solar gen '!$C$4</c:f>
              <c:strCache>
                <c:ptCount val="1"/>
                <c:pt idx="0">
                  <c:v>Solar Generation (kW)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'solar gen '!$A$5:$A$28</c:f>
              <c:strCache>
                <c:ptCount val="24"/>
                <c:pt idx="0">
                  <c:v>00:00 - 01:00</c:v>
                </c:pt>
                <c:pt idx="1">
                  <c:v>01:00 - 02:00</c:v>
                </c:pt>
                <c:pt idx="2">
                  <c:v>02:00 - 03:00</c:v>
                </c:pt>
                <c:pt idx="3">
                  <c:v>03:00 - 04:00</c:v>
                </c:pt>
                <c:pt idx="4">
                  <c:v>04:00 - 05:00</c:v>
                </c:pt>
                <c:pt idx="5">
                  <c:v>05:00 - 06:00</c:v>
                </c:pt>
                <c:pt idx="6">
                  <c:v>06:00 - 07:00</c:v>
                </c:pt>
                <c:pt idx="7">
                  <c:v>07:00 - 08:00</c:v>
                </c:pt>
                <c:pt idx="8">
                  <c:v>08:00 - 09:00</c:v>
                </c:pt>
                <c:pt idx="9">
                  <c:v>09:00 - 10:00</c:v>
                </c:pt>
                <c:pt idx="10">
                  <c:v>10:00 - 11:00</c:v>
                </c:pt>
                <c:pt idx="11">
                  <c:v>11:00 - 12:00</c:v>
                </c:pt>
                <c:pt idx="12">
                  <c:v>12:00 - 13:00</c:v>
                </c:pt>
                <c:pt idx="13">
                  <c:v>13:00 - 14:00</c:v>
                </c:pt>
                <c:pt idx="14">
                  <c:v>14:00 - 15:00</c:v>
                </c:pt>
                <c:pt idx="15">
                  <c:v>15:00 - 16:00</c:v>
                </c:pt>
                <c:pt idx="16">
                  <c:v>16:00 - 17:00</c:v>
                </c:pt>
                <c:pt idx="17">
                  <c:v>17:00 - 18:00</c:v>
                </c:pt>
                <c:pt idx="18">
                  <c:v>18:00 - 19:00</c:v>
                </c:pt>
                <c:pt idx="19">
                  <c:v>19:00 - 20:00</c:v>
                </c:pt>
                <c:pt idx="20">
                  <c:v>20:00 - 21:00</c:v>
                </c:pt>
                <c:pt idx="21">
                  <c:v>21:00 - 22:00</c:v>
                </c:pt>
                <c:pt idx="22">
                  <c:v>22:00 - 23:00</c:v>
                </c:pt>
                <c:pt idx="23">
                  <c:v>23:00 - 00:00</c:v>
                </c:pt>
              </c:strCache>
            </c:strRef>
          </c:cat>
          <c:val>
            <c:numRef>
              <c:f>'solar gen '!$C$5:$C$28</c:f>
              <c:numCache>
                <c:formatCode>#,##0.00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35</c:v>
                </c:pt>
                <c:pt idx="7">
                  <c:v>105</c:v>
                </c:pt>
                <c:pt idx="8">
                  <c:v>210</c:v>
                </c:pt>
                <c:pt idx="9">
                  <c:v>280</c:v>
                </c:pt>
                <c:pt idx="10">
                  <c:v>332.5</c:v>
                </c:pt>
                <c:pt idx="11">
                  <c:v>350</c:v>
                </c:pt>
                <c:pt idx="12">
                  <c:v>350</c:v>
                </c:pt>
                <c:pt idx="13">
                  <c:v>332.5</c:v>
                </c:pt>
                <c:pt idx="14">
                  <c:v>280</c:v>
                </c:pt>
                <c:pt idx="15">
                  <c:v>210</c:v>
                </c:pt>
                <c:pt idx="16">
                  <c:v>105</c:v>
                </c:pt>
                <c:pt idx="17">
                  <c:v>35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5D-4CF1-9261-F02D1FD7AA83}"/>
            </c:ext>
          </c:extLst>
        </c:ser>
        <c:ser>
          <c:idx val="1"/>
          <c:order val="1"/>
          <c:tx>
            <c:strRef>
              <c:f>'solar gen '!$E$4</c:f>
              <c:strCache>
                <c:ptCount val="1"/>
                <c:pt idx="0">
                  <c:v>Net Load / Grid Import (kW)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'solar gen '!$A$5:$A$28</c:f>
              <c:strCache>
                <c:ptCount val="24"/>
                <c:pt idx="0">
                  <c:v>00:00 - 01:00</c:v>
                </c:pt>
                <c:pt idx="1">
                  <c:v>01:00 - 02:00</c:v>
                </c:pt>
                <c:pt idx="2">
                  <c:v>02:00 - 03:00</c:v>
                </c:pt>
                <c:pt idx="3">
                  <c:v>03:00 - 04:00</c:v>
                </c:pt>
                <c:pt idx="4">
                  <c:v>04:00 - 05:00</c:v>
                </c:pt>
                <c:pt idx="5">
                  <c:v>05:00 - 06:00</c:v>
                </c:pt>
                <c:pt idx="6">
                  <c:v>06:00 - 07:00</c:v>
                </c:pt>
                <c:pt idx="7">
                  <c:v>07:00 - 08:00</c:v>
                </c:pt>
                <c:pt idx="8">
                  <c:v>08:00 - 09:00</c:v>
                </c:pt>
                <c:pt idx="9">
                  <c:v>09:00 - 10:00</c:v>
                </c:pt>
                <c:pt idx="10">
                  <c:v>10:00 - 11:00</c:v>
                </c:pt>
                <c:pt idx="11">
                  <c:v>11:00 - 12:00</c:v>
                </c:pt>
                <c:pt idx="12">
                  <c:v>12:00 - 13:00</c:v>
                </c:pt>
                <c:pt idx="13">
                  <c:v>13:00 - 14:00</c:v>
                </c:pt>
                <c:pt idx="14">
                  <c:v>14:00 - 15:00</c:v>
                </c:pt>
                <c:pt idx="15">
                  <c:v>15:00 - 16:00</c:v>
                </c:pt>
                <c:pt idx="16">
                  <c:v>16:00 - 17:00</c:v>
                </c:pt>
                <c:pt idx="17">
                  <c:v>17:00 - 18:00</c:v>
                </c:pt>
                <c:pt idx="18">
                  <c:v>18:00 - 19:00</c:v>
                </c:pt>
                <c:pt idx="19">
                  <c:v>19:00 - 20:00</c:v>
                </c:pt>
                <c:pt idx="20">
                  <c:v>20:00 - 21:00</c:v>
                </c:pt>
                <c:pt idx="21">
                  <c:v>21:00 - 22:00</c:v>
                </c:pt>
                <c:pt idx="22">
                  <c:v>22:00 - 23:00</c:v>
                </c:pt>
                <c:pt idx="23">
                  <c:v>23:00 - 00:00</c:v>
                </c:pt>
              </c:strCache>
            </c:strRef>
          </c:cat>
          <c:val>
            <c:numRef>
              <c:f>'solar gen '!$E$5:$E$28</c:f>
              <c:numCache>
                <c:formatCode>#,##0.00</c:formatCode>
                <c:ptCount val="24"/>
                <c:pt idx="0">
                  <c:v>144.59</c:v>
                </c:pt>
                <c:pt idx="1">
                  <c:v>144.59</c:v>
                </c:pt>
                <c:pt idx="2">
                  <c:v>144.59</c:v>
                </c:pt>
                <c:pt idx="3">
                  <c:v>144.59</c:v>
                </c:pt>
                <c:pt idx="4">
                  <c:v>144.59</c:v>
                </c:pt>
                <c:pt idx="5">
                  <c:v>186.35</c:v>
                </c:pt>
                <c:pt idx="6">
                  <c:v>260.19</c:v>
                </c:pt>
                <c:pt idx="7">
                  <c:v>436.25</c:v>
                </c:pt>
                <c:pt idx="8">
                  <c:v>529.70000000000005</c:v>
                </c:pt>
                <c:pt idx="9">
                  <c:v>540.22</c:v>
                </c:pt>
                <c:pt idx="10">
                  <c:v>487.72</c:v>
                </c:pt>
                <c:pt idx="11">
                  <c:v>452.27</c:v>
                </c:pt>
                <c:pt idx="12">
                  <c:v>434.32</c:v>
                </c:pt>
                <c:pt idx="13">
                  <c:v>469.77</c:v>
                </c:pt>
                <c:pt idx="14">
                  <c:v>540.22</c:v>
                </c:pt>
                <c:pt idx="15">
                  <c:v>610.22</c:v>
                </c:pt>
                <c:pt idx="16">
                  <c:v>597.29</c:v>
                </c:pt>
                <c:pt idx="17">
                  <c:v>467.35</c:v>
                </c:pt>
                <c:pt idx="18">
                  <c:v>356.25</c:v>
                </c:pt>
                <c:pt idx="19">
                  <c:v>292.18</c:v>
                </c:pt>
                <c:pt idx="20">
                  <c:v>228.11</c:v>
                </c:pt>
                <c:pt idx="21">
                  <c:v>186.35</c:v>
                </c:pt>
                <c:pt idx="22">
                  <c:v>164.04</c:v>
                </c:pt>
                <c:pt idx="23">
                  <c:v>144.59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5D-4CF1-9261-F02D1FD7A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5889248"/>
        <c:axId val="1565891744"/>
      </c:lineChart>
      <c:catAx>
        <c:axId val="156588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891744"/>
        <c:crosses val="autoZero"/>
        <c:auto val="1"/>
        <c:lblAlgn val="ctr"/>
        <c:lblOffset val="100"/>
        <c:noMultiLvlLbl val="0"/>
      </c:catAx>
      <c:valAx>
        <c:axId val="156589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88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'solar gen '!$C$4</c:f>
              <c:strCache>
                <c:ptCount val="1"/>
                <c:pt idx="0">
                  <c:v>Solar Generation (kW)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'solar gen '!$A$5:$A$28</c:f>
              <c:strCache>
                <c:ptCount val="24"/>
                <c:pt idx="0">
                  <c:v>00:00 - 01:00</c:v>
                </c:pt>
                <c:pt idx="1">
                  <c:v>01:00 - 02:00</c:v>
                </c:pt>
                <c:pt idx="2">
                  <c:v>02:00 - 03:00</c:v>
                </c:pt>
                <c:pt idx="3">
                  <c:v>03:00 - 04:00</c:v>
                </c:pt>
                <c:pt idx="4">
                  <c:v>04:00 - 05:00</c:v>
                </c:pt>
                <c:pt idx="5">
                  <c:v>05:00 - 06:00</c:v>
                </c:pt>
                <c:pt idx="6">
                  <c:v>06:00 - 07:00</c:v>
                </c:pt>
                <c:pt idx="7">
                  <c:v>07:00 - 08:00</c:v>
                </c:pt>
                <c:pt idx="8">
                  <c:v>08:00 - 09:00</c:v>
                </c:pt>
                <c:pt idx="9">
                  <c:v>09:00 - 10:00</c:v>
                </c:pt>
                <c:pt idx="10">
                  <c:v>10:00 - 11:00</c:v>
                </c:pt>
                <c:pt idx="11">
                  <c:v>11:00 - 12:00</c:v>
                </c:pt>
                <c:pt idx="12">
                  <c:v>12:00 - 13:00</c:v>
                </c:pt>
                <c:pt idx="13">
                  <c:v>13:00 - 14:00</c:v>
                </c:pt>
                <c:pt idx="14">
                  <c:v>14:00 - 15:00</c:v>
                </c:pt>
                <c:pt idx="15">
                  <c:v>15:00 - 16:00</c:v>
                </c:pt>
                <c:pt idx="16">
                  <c:v>16:00 - 17:00</c:v>
                </c:pt>
                <c:pt idx="17">
                  <c:v>17:00 - 18:00</c:v>
                </c:pt>
                <c:pt idx="18">
                  <c:v>18:00 - 19:00</c:v>
                </c:pt>
                <c:pt idx="19">
                  <c:v>19:00 - 20:00</c:v>
                </c:pt>
                <c:pt idx="20">
                  <c:v>20:00 - 21:00</c:v>
                </c:pt>
                <c:pt idx="21">
                  <c:v>21:00 - 22:00</c:v>
                </c:pt>
                <c:pt idx="22">
                  <c:v>22:00 - 23:00</c:v>
                </c:pt>
                <c:pt idx="23">
                  <c:v>23:00 - 00:00</c:v>
                </c:pt>
              </c:strCache>
            </c:strRef>
          </c:cat>
          <c:val>
            <c:numRef>
              <c:f>'solar gen '!$C$5:$C$28</c:f>
              <c:numCache>
                <c:formatCode>#,##0.00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35</c:v>
                </c:pt>
                <c:pt idx="7">
                  <c:v>105</c:v>
                </c:pt>
                <c:pt idx="8">
                  <c:v>210</c:v>
                </c:pt>
                <c:pt idx="9">
                  <c:v>280</c:v>
                </c:pt>
                <c:pt idx="10">
                  <c:v>332.5</c:v>
                </c:pt>
                <c:pt idx="11">
                  <c:v>350</c:v>
                </c:pt>
                <c:pt idx="12">
                  <c:v>350</c:v>
                </c:pt>
                <c:pt idx="13">
                  <c:v>332.5</c:v>
                </c:pt>
                <c:pt idx="14">
                  <c:v>280</c:v>
                </c:pt>
                <c:pt idx="15">
                  <c:v>210</c:v>
                </c:pt>
                <c:pt idx="16">
                  <c:v>105</c:v>
                </c:pt>
                <c:pt idx="17">
                  <c:v>35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E-4950-A43F-12E81540CAD4}"/>
            </c:ext>
          </c:extLst>
        </c:ser>
        <c:ser>
          <c:idx val="1"/>
          <c:order val="1"/>
          <c:tx>
            <c:strRef>
              <c:f>'solar gen '!$E$4</c:f>
              <c:strCache>
                <c:ptCount val="1"/>
                <c:pt idx="0">
                  <c:v>Net Load / Grid Import (kW)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'solar gen '!$A$5:$A$28</c:f>
              <c:strCache>
                <c:ptCount val="24"/>
                <c:pt idx="0">
                  <c:v>00:00 - 01:00</c:v>
                </c:pt>
                <c:pt idx="1">
                  <c:v>01:00 - 02:00</c:v>
                </c:pt>
                <c:pt idx="2">
                  <c:v>02:00 - 03:00</c:v>
                </c:pt>
                <c:pt idx="3">
                  <c:v>03:00 - 04:00</c:v>
                </c:pt>
                <c:pt idx="4">
                  <c:v>04:00 - 05:00</c:v>
                </c:pt>
                <c:pt idx="5">
                  <c:v>05:00 - 06:00</c:v>
                </c:pt>
                <c:pt idx="6">
                  <c:v>06:00 - 07:00</c:v>
                </c:pt>
                <c:pt idx="7">
                  <c:v>07:00 - 08:00</c:v>
                </c:pt>
                <c:pt idx="8">
                  <c:v>08:00 - 09:00</c:v>
                </c:pt>
                <c:pt idx="9">
                  <c:v>09:00 - 10:00</c:v>
                </c:pt>
                <c:pt idx="10">
                  <c:v>10:00 - 11:00</c:v>
                </c:pt>
                <c:pt idx="11">
                  <c:v>11:00 - 12:00</c:v>
                </c:pt>
                <c:pt idx="12">
                  <c:v>12:00 - 13:00</c:v>
                </c:pt>
                <c:pt idx="13">
                  <c:v>13:00 - 14:00</c:v>
                </c:pt>
                <c:pt idx="14">
                  <c:v>14:00 - 15:00</c:v>
                </c:pt>
                <c:pt idx="15">
                  <c:v>15:00 - 16:00</c:v>
                </c:pt>
                <c:pt idx="16">
                  <c:v>16:00 - 17:00</c:v>
                </c:pt>
                <c:pt idx="17">
                  <c:v>17:00 - 18:00</c:v>
                </c:pt>
                <c:pt idx="18">
                  <c:v>18:00 - 19:00</c:v>
                </c:pt>
                <c:pt idx="19">
                  <c:v>19:00 - 20:00</c:v>
                </c:pt>
                <c:pt idx="20">
                  <c:v>20:00 - 21:00</c:v>
                </c:pt>
                <c:pt idx="21">
                  <c:v>21:00 - 22:00</c:v>
                </c:pt>
                <c:pt idx="22">
                  <c:v>22:00 - 23:00</c:v>
                </c:pt>
                <c:pt idx="23">
                  <c:v>23:00 - 00:00</c:v>
                </c:pt>
              </c:strCache>
            </c:strRef>
          </c:cat>
          <c:val>
            <c:numRef>
              <c:f>'solar gen '!$E$5:$E$28</c:f>
              <c:numCache>
                <c:formatCode>#,##0.00</c:formatCode>
                <c:ptCount val="24"/>
                <c:pt idx="0">
                  <c:v>144.59</c:v>
                </c:pt>
                <c:pt idx="1">
                  <c:v>144.59</c:v>
                </c:pt>
                <c:pt idx="2">
                  <c:v>144.59</c:v>
                </c:pt>
                <c:pt idx="3">
                  <c:v>144.59</c:v>
                </c:pt>
                <c:pt idx="4">
                  <c:v>144.59</c:v>
                </c:pt>
                <c:pt idx="5">
                  <c:v>186.35</c:v>
                </c:pt>
                <c:pt idx="6">
                  <c:v>260.19</c:v>
                </c:pt>
                <c:pt idx="7">
                  <c:v>436.25</c:v>
                </c:pt>
                <c:pt idx="8">
                  <c:v>529.70000000000005</c:v>
                </c:pt>
                <c:pt idx="9">
                  <c:v>540.22</c:v>
                </c:pt>
                <c:pt idx="10">
                  <c:v>487.72</c:v>
                </c:pt>
                <c:pt idx="11">
                  <c:v>452.27</c:v>
                </c:pt>
                <c:pt idx="12">
                  <c:v>434.32</c:v>
                </c:pt>
                <c:pt idx="13">
                  <c:v>469.77</c:v>
                </c:pt>
                <c:pt idx="14">
                  <c:v>540.22</c:v>
                </c:pt>
                <c:pt idx="15">
                  <c:v>610.22</c:v>
                </c:pt>
                <c:pt idx="16">
                  <c:v>597.29</c:v>
                </c:pt>
                <c:pt idx="17">
                  <c:v>467.35</c:v>
                </c:pt>
                <c:pt idx="18">
                  <c:v>356.25</c:v>
                </c:pt>
                <c:pt idx="19">
                  <c:v>292.18</c:v>
                </c:pt>
                <c:pt idx="20">
                  <c:v>228.11</c:v>
                </c:pt>
                <c:pt idx="21">
                  <c:v>186.35</c:v>
                </c:pt>
                <c:pt idx="22">
                  <c:v>164.04</c:v>
                </c:pt>
                <c:pt idx="23">
                  <c:v>144.59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7E-4950-A43F-12E81540C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4522880"/>
        <c:axId val="1284520800"/>
      </c:barChart>
      <c:catAx>
        <c:axId val="128452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520800"/>
        <c:crosses val="autoZero"/>
        <c:auto val="1"/>
        <c:lblAlgn val="ctr"/>
        <c:lblOffset val="100"/>
        <c:noMultiLvlLbl val="0"/>
      </c:catAx>
      <c:valAx>
        <c:axId val="128452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52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41562</xdr:colOff>
      <xdr:row>3</xdr:row>
      <xdr:rowOff>187038</xdr:rowOff>
    </xdr:from>
    <xdr:to>
      <xdr:col>17</xdr:col>
      <xdr:colOff>13853</xdr:colOff>
      <xdr:row>15</xdr:row>
      <xdr:rowOff>13855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4222FC-9034-48CE-BA18-F8107BD8B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16</xdr:row>
      <xdr:rowOff>6926</xdr:rowOff>
    </xdr:from>
    <xdr:to>
      <xdr:col>17</xdr:col>
      <xdr:colOff>41564</xdr:colOff>
      <xdr:row>27</xdr:row>
      <xdr:rowOff>221671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7B784A-A9B1-450F-A02B-5443EB6E2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10886</xdr:colOff>
      <xdr:row>3</xdr:row>
      <xdr:rowOff>195942</xdr:rowOff>
    </xdr:from>
    <xdr:to>
      <xdr:col>17</xdr:col>
      <xdr:colOff>315686</xdr:colOff>
      <xdr:row>16</xdr:row>
      <xdr:rowOff>87085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D67E04-0ECE-441C-9342-DE64D6DB7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10885</xdr:colOff>
      <xdr:row>17</xdr:row>
      <xdr:rowOff>97971</xdr:rowOff>
    </xdr:from>
    <xdr:to>
      <xdr:col>17</xdr:col>
      <xdr:colOff>315685</xdr:colOff>
      <xdr:row>30</xdr:row>
      <xdr:rowOff>217714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623E77-08CC-490D-8BC9-51DC93034A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E64AB3-8A30-4A83-B3BF-F45B2006048B}" name="Table1" displayName="Table1" ref="A4:H28" totalsRowShown="0" headerRowDxfId="19" dataDxfId="17" headerRowBorderDxfId="18" tableBorderDxfId="16" totalsRowBorderDxfId="15">
  <autoFilter ref="A4:H28" xr:uid="{68E64AB3-8A30-4A83-B3BF-F45B2006048B}"/>
  <tableColumns count="8">
    <tableColumn id="1" xr3:uid="{BEE5B5A3-DF2B-4208-9D41-9DBB45B8129A}" name="Hour" dataDxfId="14"/>
    <tableColumn id="2" xr3:uid="{01B41EA8-923F-48A2-9C05-8D1F7CD619C0}" name="Lighting (kVA)" dataDxfId="13"/>
    <tableColumn id="3" xr3:uid="{2E831019-2FDB-42FB-9EA0-86D2DD19F430}" name="Power Sockets (kVA)" dataDxfId="12"/>
    <tableColumn id="4" xr3:uid="{D1EB9DAE-14C3-41A6-9C06-9CBC6C6E2950}" name="HVAC (kVA)" dataDxfId="11"/>
    <tableColumn id="5" xr3:uid="{7D101468-FE50-480B-8E4F-4D6C70A27E7D}" name="Total Hourly Load (kVA)" dataDxfId="10">
      <calculatedColumnFormula>SUM(B5:D5)</calculatedColumnFormula>
    </tableColumn>
    <tableColumn id="6" xr3:uid="{015651E3-4BF9-4079-BD94-A061008364A0}" name="PF" dataDxfId="9"/>
    <tableColumn id="7" xr3:uid="{9FEA348B-B321-4EC3-A0A6-9BA2A0F13162}" name="Total Hourly Load (KW)" dataDxfId="8"/>
    <tableColumn id="8" xr3:uid="{9FFCB5F6-BAD3-4805-B47F-1A3A139F9474}" name="load energy curve" dataDxfId="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C8B40D-574E-4E12-B408-F142EA1AA0CE}" name="Table4" displayName="Table4" ref="A31:E32" totalsRowShown="0" headerRowDxfId="6" dataDxfId="5">
  <autoFilter ref="A31:E32" xr:uid="{7FC8B40D-574E-4E12-B408-F142EA1AA0CE}"/>
  <tableColumns count="5">
    <tableColumn id="1" xr3:uid="{F749D73A-9904-4F26-B997-37669ADD1C14}" name="MAX  Load KW" dataDxfId="4">
      <calculatedColumnFormula>MAX(Table1[Total Hourly Load (KW)])</calculatedColumnFormula>
    </tableColumn>
    <tableColumn id="2" xr3:uid="{93DB8B6B-7402-4043-B197-86B5C53A6833}" name="Energy KW" dataDxfId="3">
      <calculatedColumnFormula>SUM(Table1[Total Hourly Load (KW)])</calculatedColumnFormula>
    </tableColumn>
    <tableColumn id="3" xr3:uid="{98CFDCB6-212E-48EE-997E-4F6FF68D6B2A}" name="average load KW" dataDxfId="2">
      <calculatedColumnFormula>Table4[[#This Row],[Energy KW]]/24</calculatedColumnFormula>
    </tableColumn>
    <tableColumn id="4" xr3:uid="{DE511B9A-56F7-4073-9C6C-C50A76976EFF}" name="Load factor" dataDxfId="1">
      <calculatedColumnFormula>Table4[[#This Row],[average load KW]]/Table4[[#This Row],[MAX  Load KW]]</calculatedColumnFormula>
    </tableColumn>
    <tableColumn id="5" xr3:uid="{97611C08-FB13-4303-9F1C-5079A3A0CFA2}" name="cost K" dataDxfId="0">
      <calculatedColumnFormula>Table4[[#This Row],[Energy KW]]*2.79*30/10^3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0" sqref="A20"/>
    </sheetView>
  </sheetViews>
  <sheetFormatPr defaultRowHeight="14.4" x14ac:dyDescent="0.3"/>
  <cols>
    <col min="1" max="1" width="62" customWidth="1"/>
    <col min="2" max="2" width="30" customWidth="1"/>
    <col min="3" max="3" width="25" customWidth="1"/>
    <col min="4" max="4" width="23" customWidth="1"/>
    <col min="5" max="5" width="22" customWidth="1"/>
  </cols>
  <sheetData>
    <row r="1" spans="1:5" ht="35.1" customHeight="1" x14ac:dyDescent="0.3">
      <c r="A1" s="51" t="s">
        <v>78</v>
      </c>
      <c r="B1" s="52"/>
      <c r="C1" s="52"/>
      <c r="D1" s="52"/>
      <c r="E1" s="52"/>
    </row>
    <row r="2" spans="1:5" ht="6.45" customHeight="1" x14ac:dyDescent="0.3"/>
    <row r="3" spans="1:5" ht="26.1" customHeight="1" x14ac:dyDescent="0.3">
      <c r="A3" s="26" t="s">
        <v>0</v>
      </c>
      <c r="B3" s="26" t="s">
        <v>1</v>
      </c>
      <c r="C3" s="26" t="s">
        <v>2</v>
      </c>
      <c r="D3" s="26" t="s">
        <v>3</v>
      </c>
      <c r="E3" s="26" t="s">
        <v>4</v>
      </c>
    </row>
    <row r="4" spans="1:5" ht="20.100000000000001" customHeight="1" x14ac:dyDescent="0.3">
      <c r="A4" s="1" t="s">
        <v>5</v>
      </c>
      <c r="B4" s="1" t="s">
        <v>6</v>
      </c>
      <c r="C4" s="2">
        <v>2.0169999999999999</v>
      </c>
      <c r="D4" s="3">
        <v>0.9</v>
      </c>
      <c r="E4" s="47">
        <f t="shared" ref="E4:E13" si="0">C4*D4</f>
        <v>1.8152999999999999</v>
      </c>
    </row>
    <row r="5" spans="1:5" ht="20.100000000000001" customHeight="1" x14ac:dyDescent="0.3">
      <c r="A5" s="4" t="s">
        <v>7</v>
      </c>
      <c r="B5" s="4" t="s">
        <v>6</v>
      </c>
      <c r="C5" s="5">
        <v>1.448</v>
      </c>
      <c r="D5" s="6">
        <v>0.9</v>
      </c>
      <c r="E5" s="48">
        <f t="shared" si="0"/>
        <v>1.3031999999999999</v>
      </c>
    </row>
    <row r="6" spans="1:5" ht="20.100000000000001" customHeight="1" x14ac:dyDescent="0.3">
      <c r="A6" s="1" t="s">
        <v>8</v>
      </c>
      <c r="B6" s="1" t="s">
        <v>9</v>
      </c>
      <c r="C6" s="2">
        <v>1.1859999999999999</v>
      </c>
      <c r="D6" s="3">
        <v>0.9</v>
      </c>
      <c r="E6" s="47">
        <f t="shared" si="0"/>
        <v>1.0673999999999999</v>
      </c>
    </row>
    <row r="7" spans="1:5" ht="20.100000000000001" customHeight="1" x14ac:dyDescent="0.3">
      <c r="A7" s="4" t="s">
        <v>10</v>
      </c>
      <c r="B7" s="4" t="s">
        <v>9</v>
      </c>
      <c r="C7" s="5">
        <v>1.1919999999999999</v>
      </c>
      <c r="D7" s="6">
        <v>0.9</v>
      </c>
      <c r="E7" s="48">
        <f t="shared" si="0"/>
        <v>1.0728</v>
      </c>
    </row>
    <row r="8" spans="1:5" ht="20.100000000000001" customHeight="1" x14ac:dyDescent="0.3">
      <c r="A8" s="1" t="s">
        <v>11</v>
      </c>
      <c r="B8" s="1" t="s">
        <v>12</v>
      </c>
      <c r="C8" s="2">
        <v>72</v>
      </c>
      <c r="D8" s="3">
        <v>0.8</v>
      </c>
      <c r="E8" s="47">
        <f t="shared" si="0"/>
        <v>57.6</v>
      </c>
    </row>
    <row r="9" spans="1:5" ht="20.100000000000001" customHeight="1" x14ac:dyDescent="0.3">
      <c r="A9" s="4" t="s">
        <v>13</v>
      </c>
      <c r="B9" s="4" t="s">
        <v>12</v>
      </c>
      <c r="C9" s="5">
        <v>47</v>
      </c>
      <c r="D9" s="6">
        <v>0.8</v>
      </c>
      <c r="E9" s="48">
        <f t="shared" si="0"/>
        <v>37.6</v>
      </c>
    </row>
    <row r="10" spans="1:5" ht="20.100000000000001" customHeight="1" x14ac:dyDescent="0.3">
      <c r="A10" s="1" t="s">
        <v>14</v>
      </c>
      <c r="B10" s="1" t="s">
        <v>15</v>
      </c>
      <c r="C10" s="2">
        <v>68</v>
      </c>
      <c r="D10" s="3">
        <v>0.8</v>
      </c>
      <c r="E10" s="47">
        <f t="shared" si="0"/>
        <v>54.400000000000006</v>
      </c>
    </row>
    <row r="11" spans="1:5" ht="20.100000000000001" customHeight="1" x14ac:dyDescent="0.3">
      <c r="A11" s="4" t="s">
        <v>16</v>
      </c>
      <c r="B11" s="4" t="s">
        <v>17</v>
      </c>
      <c r="C11" s="5">
        <v>74.5</v>
      </c>
      <c r="D11" s="6">
        <v>0.8</v>
      </c>
      <c r="E11" s="48">
        <f t="shared" si="0"/>
        <v>59.6</v>
      </c>
    </row>
    <row r="12" spans="1:5" ht="20.100000000000001" customHeight="1" x14ac:dyDescent="0.3">
      <c r="A12" s="1" t="s">
        <v>18</v>
      </c>
      <c r="B12" s="1" t="s">
        <v>17</v>
      </c>
      <c r="C12" s="2">
        <v>78.375</v>
      </c>
      <c r="D12" s="3">
        <v>0.8</v>
      </c>
      <c r="E12" s="47">
        <f t="shared" si="0"/>
        <v>62.7</v>
      </c>
    </row>
    <row r="13" spans="1:5" ht="20.100000000000001" customHeight="1" x14ac:dyDescent="0.3">
      <c r="A13" s="4" t="s">
        <v>19</v>
      </c>
      <c r="B13" s="4" t="s">
        <v>17</v>
      </c>
      <c r="C13" s="5">
        <v>79.5</v>
      </c>
      <c r="D13" s="6">
        <v>0.8</v>
      </c>
      <c r="E13" s="48">
        <f t="shared" si="0"/>
        <v>63.6</v>
      </c>
    </row>
    <row r="14" spans="1:5" ht="24" customHeight="1" x14ac:dyDescent="0.3">
      <c r="A14" s="7" t="s">
        <v>20</v>
      </c>
      <c r="B14" s="7" t="s">
        <v>21</v>
      </c>
      <c r="C14" s="8">
        <f>SUM(C4:C13)</f>
        <v>425.21800000000002</v>
      </c>
      <c r="D14" s="7" t="s">
        <v>21</v>
      </c>
      <c r="E14" s="49">
        <f>SUM(E4:E13)</f>
        <v>340.75870000000003</v>
      </c>
    </row>
    <row r="15" spans="1:5" ht="24" customHeight="1" x14ac:dyDescent="0.3">
      <c r="A15" s="44" t="s">
        <v>22</v>
      </c>
      <c r="B15" s="44" t="s">
        <v>21</v>
      </c>
      <c r="C15" s="45">
        <f>C14*3</f>
        <v>1275.654</v>
      </c>
      <c r="D15" s="44" t="s">
        <v>21</v>
      </c>
      <c r="E15" s="46">
        <f>E14*3</f>
        <v>1022.2761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zoomScale="55" zoomScaleNormal="55" workbookViewId="0">
      <selection activeCell="E41" sqref="E41"/>
    </sheetView>
  </sheetViews>
  <sheetFormatPr defaultRowHeight="14.4" x14ac:dyDescent="0.3"/>
  <cols>
    <col min="1" max="1" width="25.5546875" bestFit="1" customWidth="1"/>
    <col min="2" max="2" width="26.21875" bestFit="1" customWidth="1"/>
    <col min="3" max="3" width="35.21875" bestFit="1" customWidth="1"/>
    <col min="4" max="4" width="22.88671875" bestFit="1" customWidth="1"/>
    <col min="5" max="5" width="38.6640625" bestFit="1" customWidth="1"/>
    <col min="6" max="6" width="11.77734375" bestFit="1" customWidth="1"/>
    <col min="7" max="7" width="38.33203125" bestFit="1" customWidth="1"/>
    <col min="8" max="8" width="31" customWidth="1"/>
  </cols>
  <sheetData>
    <row r="1" spans="1:8" ht="35.1" customHeight="1" x14ac:dyDescent="0.3">
      <c r="A1" s="55" t="s">
        <v>60</v>
      </c>
      <c r="B1" s="55"/>
      <c r="C1" s="55"/>
      <c r="D1" s="55"/>
      <c r="E1" s="55"/>
      <c r="F1" s="55"/>
      <c r="G1" s="55"/>
      <c r="H1" s="55"/>
    </row>
    <row r="2" spans="1:8" ht="10.050000000000001" customHeight="1" x14ac:dyDescent="0.3">
      <c r="A2" s="33"/>
      <c r="B2" s="33"/>
      <c r="C2" s="33"/>
      <c r="D2" s="33"/>
      <c r="E2" s="33"/>
      <c r="F2" s="33"/>
      <c r="G2" s="33"/>
      <c r="H2" s="34"/>
    </row>
    <row r="3" spans="1:8" hidden="1" x14ac:dyDescent="0.3">
      <c r="A3" s="34"/>
      <c r="B3" s="34"/>
      <c r="C3" s="34"/>
      <c r="D3" s="34"/>
      <c r="E3" s="34"/>
      <c r="F3" s="34"/>
      <c r="G3" s="34"/>
      <c r="H3" s="34"/>
    </row>
    <row r="4" spans="1:8" ht="26.1" customHeight="1" x14ac:dyDescent="0.3">
      <c r="A4" s="35" t="s">
        <v>23</v>
      </c>
      <c r="B4" s="35" t="s">
        <v>24</v>
      </c>
      <c r="C4" s="35" t="s">
        <v>25</v>
      </c>
      <c r="D4" s="35" t="s">
        <v>26</v>
      </c>
      <c r="E4" s="35" t="s">
        <v>27</v>
      </c>
      <c r="F4" s="35" t="s">
        <v>54</v>
      </c>
      <c r="G4" s="35" t="s">
        <v>55</v>
      </c>
      <c r="H4" s="36" t="s">
        <v>61</v>
      </c>
    </row>
    <row r="5" spans="1:8" ht="20.100000000000001" customHeight="1" x14ac:dyDescent="0.3">
      <c r="A5" s="27" t="s">
        <v>28</v>
      </c>
      <c r="B5" s="28">
        <f>SUM('Panel Schedule Summary'!E4:E7)*3*0.1</f>
        <v>1.57761</v>
      </c>
      <c r="C5" s="28">
        <f>SUM('Panel Schedule Summary'!E8:E10)*3*0.15</f>
        <v>67.320000000000007</v>
      </c>
      <c r="D5" s="28">
        <f>SUM('Panel Schedule Summary'!E11:E13)*3*0.2</f>
        <v>111.54000000000002</v>
      </c>
      <c r="E5" s="29">
        <f t="shared" ref="E5:E28" si="0">SUM(B5:D5)</f>
        <v>180.43761000000003</v>
      </c>
      <c r="F5" s="29">
        <v>0.8</v>
      </c>
      <c r="G5" s="42">
        <v>144.59</v>
      </c>
      <c r="H5" s="30">
        <v>144.35</v>
      </c>
    </row>
    <row r="6" spans="1:8" ht="20.100000000000001" customHeight="1" x14ac:dyDescent="0.3">
      <c r="A6" s="50" t="s">
        <v>29</v>
      </c>
      <c r="B6" s="28">
        <f>SUM('Panel Schedule Summary'!E4:E7)*3*0.1</f>
        <v>1.57761</v>
      </c>
      <c r="C6" s="28">
        <f>SUM('Panel Schedule Summary'!E8:E10)*3*0.15</f>
        <v>67.320000000000007</v>
      </c>
      <c r="D6" s="28">
        <f>SUM('Panel Schedule Summary'!E11:E13)*3*0.2</f>
        <v>111.54000000000002</v>
      </c>
      <c r="E6" s="29">
        <f t="shared" si="0"/>
        <v>180.43761000000003</v>
      </c>
      <c r="F6" s="29">
        <v>0.8</v>
      </c>
      <c r="G6" s="43">
        <v>144.59</v>
      </c>
      <c r="H6" s="31">
        <f>G5+Table1[[#This Row],[Total Hourly Load (KW)]]</f>
        <v>289.18</v>
      </c>
    </row>
    <row r="7" spans="1:8" ht="20.100000000000001" customHeight="1" x14ac:dyDescent="0.3">
      <c r="A7" s="27" t="s">
        <v>30</v>
      </c>
      <c r="B7" s="28">
        <f>SUM('Panel Schedule Summary'!E4:E7)*3*0.1</f>
        <v>1.57761</v>
      </c>
      <c r="C7" s="28">
        <f>SUM('Panel Schedule Summary'!E8:E10)*3*0.15</f>
        <v>67.320000000000007</v>
      </c>
      <c r="D7" s="28">
        <f>SUM('Panel Schedule Summary'!E11:E13)*3*0.2</f>
        <v>111.54000000000002</v>
      </c>
      <c r="E7" s="29">
        <f t="shared" si="0"/>
        <v>180.43761000000003</v>
      </c>
      <c r="F7" s="29">
        <v>0.8</v>
      </c>
      <c r="G7" s="42">
        <v>144.59</v>
      </c>
      <c r="H7" s="31">
        <f>G5*3</f>
        <v>433.77</v>
      </c>
    </row>
    <row r="8" spans="1:8" ht="20.100000000000001" customHeight="1" x14ac:dyDescent="0.3">
      <c r="A8" s="50" t="s">
        <v>31</v>
      </c>
      <c r="B8" s="28">
        <f>SUM('Panel Schedule Summary'!E4:E7)*3*0.1</f>
        <v>1.57761</v>
      </c>
      <c r="C8" s="28">
        <f>SUM('Panel Schedule Summary'!E8:E10)*3*0.15</f>
        <v>67.320000000000007</v>
      </c>
      <c r="D8" s="28">
        <f>SUM('Panel Schedule Summary'!E11:E13)*3*0.2</f>
        <v>111.54000000000002</v>
      </c>
      <c r="E8" s="29">
        <f t="shared" si="0"/>
        <v>180.43761000000003</v>
      </c>
      <c r="F8" s="29">
        <v>0.8</v>
      </c>
      <c r="G8" s="43">
        <v>144.59</v>
      </c>
      <c r="H8" s="31">
        <f>G6*4</f>
        <v>578.36</v>
      </c>
    </row>
    <row r="9" spans="1:8" ht="20.100000000000001" customHeight="1" x14ac:dyDescent="0.3">
      <c r="A9" s="27" t="s">
        <v>32</v>
      </c>
      <c r="B9" s="28">
        <f>SUM('Panel Schedule Summary'!E4:E7)*3*0.1</f>
        <v>1.57761</v>
      </c>
      <c r="C9" s="28">
        <f>SUM('Panel Schedule Summary'!E8:E10)*3*0.15</f>
        <v>67.320000000000007</v>
      </c>
      <c r="D9" s="28">
        <f>SUM('Panel Schedule Summary'!E11:E13)*3*0.2</f>
        <v>111.54000000000002</v>
      </c>
      <c r="E9" s="29">
        <f t="shared" si="0"/>
        <v>180.43761000000003</v>
      </c>
      <c r="F9" s="29">
        <v>0.8</v>
      </c>
      <c r="G9" s="42">
        <v>144.59</v>
      </c>
      <c r="H9" s="31">
        <f>G7*5</f>
        <v>722.95</v>
      </c>
    </row>
    <row r="10" spans="1:8" ht="20.100000000000001" customHeight="1" x14ac:dyDescent="0.3">
      <c r="A10" s="50" t="s">
        <v>33</v>
      </c>
      <c r="B10" s="28">
        <f>SUM('Panel Schedule Summary'!E4:E7)*3*0.2</f>
        <v>3.1552199999999999</v>
      </c>
      <c r="C10" s="28">
        <f>SUM('Panel Schedule Summary'!E8:E10)*3*0.2</f>
        <v>89.760000000000019</v>
      </c>
      <c r="D10" s="28">
        <f>SUM('Panel Schedule Summary'!E11:E13)*3*0.25</f>
        <v>139.42500000000001</v>
      </c>
      <c r="E10" s="29">
        <f t="shared" si="0"/>
        <v>232.34022000000004</v>
      </c>
      <c r="F10" s="29">
        <v>0.8</v>
      </c>
      <c r="G10" s="43">
        <v>186.35</v>
      </c>
      <c r="H10" s="31">
        <f>H9+Table1[[#This Row],[Total Hourly Load (KW)]]</f>
        <v>909.30000000000007</v>
      </c>
    </row>
    <row r="11" spans="1:8" ht="20.100000000000001" customHeight="1" x14ac:dyDescent="0.3">
      <c r="A11" s="27" t="s">
        <v>34</v>
      </c>
      <c r="B11" s="28">
        <f>SUM('Panel Schedule Summary'!E4:E7)*3*0.6</f>
        <v>9.4656599999999997</v>
      </c>
      <c r="C11" s="28">
        <f>SUM('Panel Schedule Summary'!E8:E10)*3*0.3</f>
        <v>134.64000000000001</v>
      </c>
      <c r="D11" s="28">
        <f>SUM('Panel Schedule Summary'!E11:E13)*3*0.4</f>
        <v>223.08000000000004</v>
      </c>
      <c r="E11" s="29">
        <f t="shared" si="0"/>
        <v>367.18566000000004</v>
      </c>
      <c r="F11" s="29">
        <v>0.8</v>
      </c>
      <c r="G11" s="42">
        <v>295.19</v>
      </c>
      <c r="H11" s="31">
        <f>H10+Table1[[#This Row],[Total Hourly Load (KW)]]</f>
        <v>1204.49</v>
      </c>
    </row>
    <row r="12" spans="1:8" ht="20.100000000000001" customHeight="1" x14ac:dyDescent="0.3">
      <c r="A12" s="50" t="s">
        <v>35</v>
      </c>
      <c r="B12" s="28">
        <f>SUM('Panel Schedule Summary'!E4:E7)*3*0.9</f>
        <v>14.19849</v>
      </c>
      <c r="C12" s="28">
        <f>SUM('Panel Schedule Summary'!E8:E10)*3*0.6</f>
        <v>269.28000000000003</v>
      </c>
      <c r="D12" s="28">
        <f>SUM('Panel Schedule Summary'!E11:E13)*3*0.7</f>
        <v>390.39</v>
      </c>
      <c r="E12" s="29">
        <f t="shared" si="0"/>
        <v>673.86849000000007</v>
      </c>
      <c r="F12" s="29">
        <v>0.8</v>
      </c>
      <c r="G12" s="43">
        <v>541.25</v>
      </c>
      <c r="H12" s="31">
        <f>H11+Table1[[#This Row],[Total Hourly Load (KW)]]</f>
        <v>1745.74</v>
      </c>
    </row>
    <row r="13" spans="1:8" ht="20.100000000000001" customHeight="1" x14ac:dyDescent="0.3">
      <c r="A13" s="27" t="s">
        <v>36</v>
      </c>
      <c r="B13" s="28">
        <f>SUM('Panel Schedule Summary'!E4:E7)*3*1</f>
        <v>15.7761</v>
      </c>
      <c r="C13" s="28">
        <f>SUM('Panel Schedule Summary'!E8:E10)*3*0.9</f>
        <v>403.92000000000007</v>
      </c>
      <c r="D13" s="28">
        <f>SUM('Panel Schedule Summary'!E11:E13)*3*0.9</f>
        <v>501.93000000000006</v>
      </c>
      <c r="E13" s="29">
        <f t="shared" si="0"/>
        <v>921.62610000000018</v>
      </c>
      <c r="F13" s="29">
        <v>0.8</v>
      </c>
      <c r="G13" s="42">
        <v>739.7</v>
      </c>
      <c r="H13" s="31">
        <f>H12+Table1[[#This Row],[Total Hourly Load (KW)]]</f>
        <v>2485.44</v>
      </c>
    </row>
    <row r="14" spans="1:8" ht="20.100000000000001" customHeight="1" x14ac:dyDescent="0.3">
      <c r="A14" s="50" t="s">
        <v>37</v>
      </c>
      <c r="B14" s="28">
        <f>SUM('Panel Schedule Summary'!E4:E7)*3*1</f>
        <v>15.7761</v>
      </c>
      <c r="C14" s="28">
        <f>SUM('Panel Schedule Summary'!E8:E10)*3*1</f>
        <v>448.80000000000007</v>
      </c>
      <c r="D14" s="28">
        <f>SUM('Panel Schedule Summary'!E11:E13)*3*1</f>
        <v>557.70000000000005</v>
      </c>
      <c r="E14" s="29">
        <f t="shared" si="0"/>
        <v>1022.2761</v>
      </c>
      <c r="F14" s="29">
        <v>0.8</v>
      </c>
      <c r="G14" s="43">
        <v>820.22</v>
      </c>
      <c r="H14" s="31">
        <f>H13+Table1[[#This Row],[Total Hourly Load (KW)]]</f>
        <v>3305.66</v>
      </c>
    </row>
    <row r="15" spans="1:8" ht="20.100000000000001" customHeight="1" x14ac:dyDescent="0.3">
      <c r="A15" s="27" t="s">
        <v>38</v>
      </c>
      <c r="B15" s="28">
        <f>SUM('Panel Schedule Summary'!E4:E7)*3*1</f>
        <v>15.7761</v>
      </c>
      <c r="C15" s="28">
        <f>SUM('Panel Schedule Summary'!E8:E10)*3*1</f>
        <v>448.80000000000007</v>
      </c>
      <c r="D15" s="28">
        <f>SUM('Panel Schedule Summary'!E11:E13)*3*1</f>
        <v>557.70000000000005</v>
      </c>
      <c r="E15" s="29">
        <f t="shared" si="0"/>
        <v>1022.2761</v>
      </c>
      <c r="F15" s="29">
        <v>0.8</v>
      </c>
      <c r="G15" s="42">
        <v>820.22</v>
      </c>
      <c r="H15" s="31">
        <f>H14+Table1[[#This Row],[Total Hourly Load (KW)]]</f>
        <v>4125.88</v>
      </c>
    </row>
    <row r="16" spans="1:8" ht="20.100000000000001" customHeight="1" x14ac:dyDescent="0.3">
      <c r="A16" s="50" t="s">
        <v>39</v>
      </c>
      <c r="B16" s="28">
        <f>SUM('Panel Schedule Summary'!E4:E7)*3*1</f>
        <v>15.7761</v>
      </c>
      <c r="C16" s="28">
        <f>SUM('Panel Schedule Summary'!E8:E10)*3*0.95</f>
        <v>426.36000000000007</v>
      </c>
      <c r="D16" s="28">
        <f>SUM('Panel Schedule Summary'!E11:E13)*3*1</f>
        <v>557.70000000000005</v>
      </c>
      <c r="E16" s="29">
        <f t="shared" si="0"/>
        <v>999.8361000000001</v>
      </c>
      <c r="F16" s="29">
        <v>0.8</v>
      </c>
      <c r="G16" s="43">
        <v>802.27</v>
      </c>
      <c r="H16" s="31">
        <f>H15+Table1[[#This Row],[Total Hourly Load (KW)]]</f>
        <v>4928.1499999999996</v>
      </c>
    </row>
    <row r="17" spans="1:8" ht="20.100000000000001" customHeight="1" x14ac:dyDescent="0.3">
      <c r="A17" s="27" t="s">
        <v>40</v>
      </c>
      <c r="B17" s="28">
        <f>SUM('Panel Schedule Summary'!E4:E7)*3*1</f>
        <v>15.7761</v>
      </c>
      <c r="C17" s="28">
        <f>SUM('Panel Schedule Summary'!E8:E10)*3*0.9</f>
        <v>403.92000000000007</v>
      </c>
      <c r="D17" s="28">
        <f>SUM('Panel Schedule Summary'!E11:E13)*3*1</f>
        <v>557.70000000000005</v>
      </c>
      <c r="E17" s="29">
        <f t="shared" si="0"/>
        <v>977.39610000000016</v>
      </c>
      <c r="F17" s="29">
        <v>0.8</v>
      </c>
      <c r="G17" s="42">
        <v>784.32</v>
      </c>
      <c r="H17" s="31">
        <f>H16+Table1[[#This Row],[Total Hourly Load (KW)]]</f>
        <v>5712.4699999999993</v>
      </c>
    </row>
    <row r="18" spans="1:8" ht="20.100000000000001" customHeight="1" x14ac:dyDescent="0.3">
      <c r="A18" s="50" t="s">
        <v>41</v>
      </c>
      <c r="B18" s="28">
        <f>SUM('Panel Schedule Summary'!E4:E7)*3*1</f>
        <v>15.7761</v>
      </c>
      <c r="C18" s="28">
        <f>SUM('Panel Schedule Summary'!E8:E10)*3*0.95</f>
        <v>426.36000000000007</v>
      </c>
      <c r="D18" s="28">
        <f>SUM('Panel Schedule Summary'!E11:E13)*3*1</f>
        <v>557.70000000000005</v>
      </c>
      <c r="E18" s="29">
        <f t="shared" si="0"/>
        <v>999.8361000000001</v>
      </c>
      <c r="F18" s="29">
        <v>0.8</v>
      </c>
      <c r="G18" s="43">
        <v>802.27</v>
      </c>
      <c r="H18" s="31">
        <f>H17+Table1[[#This Row],[Total Hourly Load (KW)]]</f>
        <v>6514.74</v>
      </c>
    </row>
    <row r="19" spans="1:8" ht="20.100000000000001" customHeight="1" x14ac:dyDescent="0.3">
      <c r="A19" s="27" t="s">
        <v>42</v>
      </c>
      <c r="B19" s="28">
        <f>SUM('Panel Schedule Summary'!E4:E7)*3*1</f>
        <v>15.7761</v>
      </c>
      <c r="C19" s="28">
        <f>SUM('Panel Schedule Summary'!E8:E10)*3*1</f>
        <v>448.80000000000007</v>
      </c>
      <c r="D19" s="28">
        <f>SUM('Panel Schedule Summary'!E11:E13)*3*1</f>
        <v>557.70000000000005</v>
      </c>
      <c r="E19" s="29">
        <f t="shared" si="0"/>
        <v>1022.2761</v>
      </c>
      <c r="F19" s="29">
        <v>0.8</v>
      </c>
      <c r="G19" s="42">
        <v>820.22</v>
      </c>
      <c r="H19" s="31">
        <f>H18+Table1[[#This Row],[Total Hourly Load (KW)]]</f>
        <v>7334.96</v>
      </c>
    </row>
    <row r="20" spans="1:8" ht="20.100000000000001" customHeight="1" x14ac:dyDescent="0.3">
      <c r="A20" s="50" t="s">
        <v>43</v>
      </c>
      <c r="B20" s="28">
        <f>SUM('Panel Schedule Summary'!E4:E7)*3*1</f>
        <v>15.7761</v>
      </c>
      <c r="C20" s="28">
        <f>SUM('Panel Schedule Summary'!E8:E10)*3*1</f>
        <v>448.80000000000007</v>
      </c>
      <c r="D20" s="28">
        <f>SUM('Panel Schedule Summary'!E11:E13)*3*1</f>
        <v>557.70000000000005</v>
      </c>
      <c r="E20" s="29">
        <f t="shared" si="0"/>
        <v>1022.2761</v>
      </c>
      <c r="F20" s="29">
        <v>0.8</v>
      </c>
      <c r="G20" s="43">
        <v>820.22</v>
      </c>
      <c r="H20" s="31">
        <f>H19+Table1[[#This Row],[Total Hourly Load (KW)]]</f>
        <v>8155.18</v>
      </c>
    </row>
    <row r="21" spans="1:8" ht="20.100000000000001" customHeight="1" x14ac:dyDescent="0.3">
      <c r="A21" s="27" t="s">
        <v>44</v>
      </c>
      <c r="B21" s="28">
        <f>SUM('Panel Schedule Summary'!E4:E7)*3*0.9</f>
        <v>14.19849</v>
      </c>
      <c r="C21" s="28">
        <f>SUM('Panel Schedule Summary'!E8:E10)*3*0.8</f>
        <v>359.04000000000008</v>
      </c>
      <c r="D21" s="28">
        <f>SUM('Panel Schedule Summary'!E11:E13)*3*0.9</f>
        <v>501.93000000000006</v>
      </c>
      <c r="E21" s="29">
        <f t="shared" si="0"/>
        <v>875.16849000000013</v>
      </c>
      <c r="F21" s="29">
        <v>0.8</v>
      </c>
      <c r="G21" s="42">
        <v>702.29</v>
      </c>
      <c r="H21" s="31">
        <f>H20+Table1[[#This Row],[Total Hourly Load (KW)]]</f>
        <v>8857.4700000000012</v>
      </c>
    </row>
    <row r="22" spans="1:8" ht="20.100000000000001" customHeight="1" x14ac:dyDescent="0.3">
      <c r="A22" s="50" t="s">
        <v>45</v>
      </c>
      <c r="B22" s="28">
        <f>SUM('Panel Schedule Summary'!E4:E7)*3*0.7</f>
        <v>11.04327</v>
      </c>
      <c r="C22" s="28">
        <f>SUM('Panel Schedule Summary'!E8:E10)*3*0.5</f>
        <v>224.40000000000003</v>
      </c>
      <c r="D22" s="28">
        <f>SUM('Panel Schedule Summary'!E11:E13)*3*0.7</f>
        <v>390.39</v>
      </c>
      <c r="E22" s="29">
        <f t="shared" si="0"/>
        <v>625.83327000000008</v>
      </c>
      <c r="F22" s="29">
        <v>0.8</v>
      </c>
      <c r="G22" s="43">
        <v>502.35</v>
      </c>
      <c r="H22" s="31">
        <f>H21+Table1[[#This Row],[Total Hourly Load (KW)]]</f>
        <v>9359.8200000000015</v>
      </c>
    </row>
    <row r="23" spans="1:8" ht="20.100000000000001" customHeight="1" x14ac:dyDescent="0.3">
      <c r="A23" s="27" t="s">
        <v>46</v>
      </c>
      <c r="B23" s="28">
        <f>SUM('Panel Schedule Summary'!E4:E7)*3*0.5</f>
        <v>7.8880499999999998</v>
      </c>
      <c r="C23" s="28">
        <f>SUM('Panel Schedule Summary'!E8:E10)*3*0.35</f>
        <v>157.08000000000001</v>
      </c>
      <c r="D23" s="28">
        <f>SUM('Panel Schedule Summary'!E11:E13)*3*0.5</f>
        <v>278.85000000000002</v>
      </c>
      <c r="E23" s="29">
        <f t="shared" si="0"/>
        <v>443.81805000000003</v>
      </c>
      <c r="F23" s="29">
        <v>0.8</v>
      </c>
      <c r="G23" s="42">
        <v>356.25</v>
      </c>
      <c r="H23" s="31">
        <f>H22+Table1[[#This Row],[Total Hourly Load (KW)]]</f>
        <v>9716.0700000000015</v>
      </c>
    </row>
    <row r="24" spans="1:8" ht="20.100000000000001" customHeight="1" x14ac:dyDescent="0.3">
      <c r="A24" s="50" t="s">
        <v>47</v>
      </c>
      <c r="B24" s="28">
        <f>SUM('Panel Schedule Summary'!E4:E7)*3*0.4</f>
        <v>6.3104399999999998</v>
      </c>
      <c r="C24" s="28">
        <f>SUM('Panel Schedule Summary'!E8:E10)*3*0.3</f>
        <v>134.64000000000001</v>
      </c>
      <c r="D24" s="28">
        <f>SUM('Panel Schedule Summary'!E11:E13)*3*0.4</f>
        <v>223.08000000000004</v>
      </c>
      <c r="E24" s="29">
        <f t="shared" si="0"/>
        <v>364.03044000000006</v>
      </c>
      <c r="F24" s="29">
        <v>0.8</v>
      </c>
      <c r="G24" s="43">
        <v>292.18</v>
      </c>
      <c r="H24" s="31">
        <f>H23+Table1[[#This Row],[Total Hourly Load (KW)]]</f>
        <v>10008.250000000002</v>
      </c>
    </row>
    <row r="25" spans="1:8" ht="20.100000000000001" customHeight="1" x14ac:dyDescent="0.3">
      <c r="A25" s="27" t="s">
        <v>48</v>
      </c>
      <c r="B25" s="28">
        <f>SUM('Panel Schedule Summary'!E4:E7)*3*0.3</f>
        <v>4.7328299999999999</v>
      </c>
      <c r="C25" s="28">
        <f>SUM('Panel Schedule Summary'!E8:E10)*3*0.25</f>
        <v>112.20000000000002</v>
      </c>
      <c r="D25" s="28">
        <f>SUM('Panel Schedule Summary'!E11:E13)*3*0.3</f>
        <v>167.31</v>
      </c>
      <c r="E25" s="29">
        <f t="shared" si="0"/>
        <v>284.24283000000003</v>
      </c>
      <c r="F25" s="29">
        <v>0.8</v>
      </c>
      <c r="G25" s="42">
        <v>228.11</v>
      </c>
      <c r="H25" s="31">
        <f>H24+Table1[[#This Row],[Total Hourly Load (KW)]]</f>
        <v>10236.360000000002</v>
      </c>
    </row>
    <row r="26" spans="1:8" ht="20.100000000000001" customHeight="1" x14ac:dyDescent="0.3">
      <c r="A26" s="50" t="s">
        <v>49</v>
      </c>
      <c r="B26" s="28">
        <f>SUM('Panel Schedule Summary'!E4:E7)*3*0.2</f>
        <v>3.1552199999999999</v>
      </c>
      <c r="C26" s="28">
        <f>SUM('Panel Schedule Summary'!E8:E10)*3*0.2</f>
        <v>89.760000000000019</v>
      </c>
      <c r="D26" s="28">
        <f>SUM('Panel Schedule Summary'!E11:E13)*3*0.25</f>
        <v>139.42500000000001</v>
      </c>
      <c r="E26" s="29">
        <f t="shared" si="0"/>
        <v>232.34022000000004</v>
      </c>
      <c r="F26" s="29">
        <v>0.8</v>
      </c>
      <c r="G26" s="43">
        <v>186.35</v>
      </c>
      <c r="H26" s="31">
        <f>H25+Table1[[#This Row],[Total Hourly Load (KW)]]</f>
        <v>10422.710000000003</v>
      </c>
    </row>
    <row r="27" spans="1:8" ht="20.100000000000001" customHeight="1" x14ac:dyDescent="0.3">
      <c r="A27" s="27" t="s">
        <v>50</v>
      </c>
      <c r="B27" s="28">
        <f>SUM('Panel Schedule Summary'!E4:E7)*3*0.2</f>
        <v>3.1552199999999999</v>
      </c>
      <c r="C27" s="28">
        <f>SUM('Panel Schedule Summary'!E8:E10)*3*0.2</f>
        <v>89.760000000000019</v>
      </c>
      <c r="D27" s="28">
        <f>SUM('Panel Schedule Summary'!E11:E13)*3*0.2</f>
        <v>111.54000000000002</v>
      </c>
      <c r="E27" s="29">
        <f t="shared" si="0"/>
        <v>204.45522000000005</v>
      </c>
      <c r="F27" s="29">
        <v>0.8</v>
      </c>
      <c r="G27" s="42">
        <v>164.04</v>
      </c>
      <c r="H27" s="31">
        <f>H26+Table1[[#This Row],[Total Hourly Load (KW)]]</f>
        <v>10586.750000000004</v>
      </c>
    </row>
    <row r="28" spans="1:8" ht="20.100000000000001" customHeight="1" x14ac:dyDescent="0.3">
      <c r="A28" s="50" t="s">
        <v>51</v>
      </c>
      <c r="B28" s="28">
        <f>SUM('Panel Schedule Summary'!E4:E7)*3*0.1</f>
        <v>1.57761</v>
      </c>
      <c r="C28" s="28">
        <f>SUM('Panel Schedule Summary'!E8:E10)*3*0.15</f>
        <v>67.320000000000007</v>
      </c>
      <c r="D28" s="28">
        <f>SUM('Panel Schedule Summary'!E11:E13)*3*0.2</f>
        <v>111.54000000000002</v>
      </c>
      <c r="E28" s="29">
        <f t="shared" si="0"/>
        <v>180.43761000000003</v>
      </c>
      <c r="F28" s="29">
        <v>0.8</v>
      </c>
      <c r="G28" s="43">
        <v>144.59</v>
      </c>
      <c r="H28" s="32">
        <f>H27+Table1[[#This Row],[Total Hourly Load (KW)]]</f>
        <v>10731.340000000004</v>
      </c>
    </row>
    <row r="29" spans="1:8" ht="24" customHeight="1" x14ac:dyDescent="0.3">
      <c r="A29" s="37" t="s">
        <v>52</v>
      </c>
      <c r="B29" s="41">
        <f>AVERAGE(B5:B28)</f>
        <v>8.8740562499999971</v>
      </c>
      <c r="C29" s="38">
        <f>AVERAGE(C5:C28)</f>
        <v>230.01000000000002</v>
      </c>
      <c r="D29" s="38">
        <f>AVERAGE(D5:D28)</f>
        <v>318.35375000000005</v>
      </c>
      <c r="E29" s="41">
        <f>SUM(E5:E28)</f>
        <v>13373.707350000002</v>
      </c>
      <c r="F29" s="37"/>
      <c r="G29" s="38">
        <f>SUM(G5:G28)</f>
        <v>10731.340000000004</v>
      </c>
    </row>
    <row r="31" spans="1:8" ht="18" x14ac:dyDescent="0.35">
      <c r="A31" s="39" t="s">
        <v>56</v>
      </c>
      <c r="B31" s="39" t="s">
        <v>57</v>
      </c>
      <c r="C31" s="39" t="s">
        <v>58</v>
      </c>
      <c r="D31" s="39" t="s">
        <v>53</v>
      </c>
      <c r="E31" s="39" t="s">
        <v>59</v>
      </c>
    </row>
    <row r="32" spans="1:8" ht="18" x14ac:dyDescent="0.35">
      <c r="A32" s="40">
        <f>MAX(Table1[Total Hourly Load (KW)])</f>
        <v>820.22</v>
      </c>
      <c r="B32" s="40">
        <f>SUM(Table1[Total Hourly Load (KW)])</f>
        <v>10731.340000000004</v>
      </c>
      <c r="C32" s="40">
        <f>Table4[[#This Row],[Energy KW]]/24</f>
        <v>447.13916666666682</v>
      </c>
      <c r="D32" s="40">
        <f>Table4[[#This Row],[average load KW]]/Table4[[#This Row],[MAX  Load KW]]</f>
        <v>0.54514540814253098</v>
      </c>
      <c r="E32" s="40">
        <f>Table4[[#This Row],[Energy KW]]*2.79*30/10^3</f>
        <v>898.21315800000036</v>
      </c>
    </row>
    <row r="33" spans="2:2" x14ac:dyDescent="0.3">
      <c r="B33" s="9"/>
    </row>
  </sheetData>
  <mergeCells count="1">
    <mergeCell ref="A1:H1"/>
  </mergeCells>
  <phoneticPr fontId="7" type="noConversion"/>
  <pageMargins left="0.75" right="0.75" top="1" bottom="1" header="0.5" footer="0.5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7280-388C-4B15-B604-2F89234A5EAA}">
  <dimension ref="A1:I32"/>
  <sheetViews>
    <sheetView zoomScale="70" zoomScaleNormal="70" workbookViewId="0">
      <selection activeCell="I35" sqref="I34:I35"/>
    </sheetView>
  </sheetViews>
  <sheetFormatPr defaultRowHeight="14.4" x14ac:dyDescent="0.3"/>
  <cols>
    <col min="1" max="1" width="28.109375" customWidth="1"/>
    <col min="2" max="2" width="25.109375" customWidth="1"/>
    <col min="3" max="3" width="30.77734375" customWidth="1"/>
    <col min="4" max="4" width="19.6640625" customWidth="1"/>
    <col min="5" max="5" width="19" customWidth="1"/>
    <col min="6" max="6" width="11.88671875" customWidth="1"/>
    <col min="7" max="7" width="11.109375" customWidth="1"/>
    <col min="8" max="9" width="15.88671875" customWidth="1"/>
  </cols>
  <sheetData>
    <row r="1" spans="1:9" ht="17.399999999999999" x14ac:dyDescent="0.3">
      <c r="A1" s="51" t="s">
        <v>77</v>
      </c>
      <c r="B1" s="52"/>
      <c r="C1" s="52"/>
      <c r="D1" s="52"/>
      <c r="E1" s="52"/>
      <c r="F1" s="52"/>
      <c r="G1" s="52"/>
      <c r="H1" s="52"/>
      <c r="I1" s="52"/>
    </row>
    <row r="2" spans="1:9" ht="1.95" customHeight="1" x14ac:dyDescent="0.3">
      <c r="A2" s="53"/>
      <c r="B2" s="54"/>
      <c r="C2" s="54"/>
      <c r="D2" s="54"/>
      <c r="E2" s="54"/>
      <c r="F2" s="54"/>
      <c r="G2" s="54"/>
      <c r="H2" s="54"/>
      <c r="I2" s="54"/>
    </row>
    <row r="3" spans="1:9" ht="7.05" hidden="1" customHeight="1" x14ac:dyDescent="0.3"/>
    <row r="4" spans="1:9" ht="39.6" x14ac:dyDescent="0.3">
      <c r="A4" s="10" t="s">
        <v>23</v>
      </c>
      <c r="B4" s="10" t="s">
        <v>62</v>
      </c>
      <c r="C4" s="10" t="s">
        <v>63</v>
      </c>
      <c r="D4" s="10" t="s">
        <v>64</v>
      </c>
      <c r="E4" s="10" t="s">
        <v>65</v>
      </c>
      <c r="F4" s="10" t="s">
        <v>66</v>
      </c>
      <c r="G4" s="10" t="s">
        <v>67</v>
      </c>
      <c r="H4" s="10" t="s">
        <v>68</v>
      </c>
      <c r="I4" s="10" t="s">
        <v>69</v>
      </c>
    </row>
    <row r="5" spans="1:9" ht="15" x14ac:dyDescent="0.3">
      <c r="A5" s="11" t="s">
        <v>28</v>
      </c>
      <c r="B5" s="12">
        <v>144.59</v>
      </c>
      <c r="C5" s="12">
        <v>0</v>
      </c>
      <c r="D5" s="12">
        <v>0</v>
      </c>
      <c r="E5" s="12">
        <v>144.59</v>
      </c>
      <c r="F5" s="13">
        <v>0</v>
      </c>
      <c r="G5" s="13">
        <v>1</v>
      </c>
      <c r="H5" s="13">
        <v>1.35E-2</v>
      </c>
      <c r="I5" s="11" t="s">
        <v>70</v>
      </c>
    </row>
    <row r="6" spans="1:9" ht="15" x14ac:dyDescent="0.3">
      <c r="A6" s="14" t="s">
        <v>29</v>
      </c>
      <c r="B6" s="15">
        <v>144.59</v>
      </c>
      <c r="C6" s="15">
        <v>0</v>
      </c>
      <c r="D6" s="15">
        <v>0</v>
      </c>
      <c r="E6" s="15">
        <v>144.59</v>
      </c>
      <c r="F6" s="16">
        <v>0</v>
      </c>
      <c r="G6" s="16">
        <v>1</v>
      </c>
      <c r="H6" s="16">
        <v>1.35E-2</v>
      </c>
      <c r="I6" s="14" t="s">
        <v>70</v>
      </c>
    </row>
    <row r="7" spans="1:9" ht="15" x14ac:dyDescent="0.3">
      <c r="A7" s="11" t="s">
        <v>30</v>
      </c>
      <c r="B7" s="12">
        <v>144.59</v>
      </c>
      <c r="C7" s="12">
        <v>0</v>
      </c>
      <c r="D7" s="12">
        <v>0</v>
      </c>
      <c r="E7" s="12">
        <v>144.59</v>
      </c>
      <c r="F7" s="13">
        <v>0</v>
      </c>
      <c r="G7" s="13">
        <v>1</v>
      </c>
      <c r="H7" s="13">
        <v>1.35E-2</v>
      </c>
      <c r="I7" s="11" t="s">
        <v>70</v>
      </c>
    </row>
    <row r="8" spans="1:9" ht="15" x14ac:dyDescent="0.3">
      <c r="A8" s="14" t="s">
        <v>31</v>
      </c>
      <c r="B8" s="15">
        <v>144.59</v>
      </c>
      <c r="C8" s="15">
        <v>0</v>
      </c>
      <c r="D8" s="15">
        <v>0</v>
      </c>
      <c r="E8" s="15">
        <v>144.59</v>
      </c>
      <c r="F8" s="16">
        <v>0</v>
      </c>
      <c r="G8" s="16">
        <v>1</v>
      </c>
      <c r="H8" s="16">
        <v>1.35E-2</v>
      </c>
      <c r="I8" s="14" t="s">
        <v>70</v>
      </c>
    </row>
    <row r="9" spans="1:9" ht="15" x14ac:dyDescent="0.3">
      <c r="A9" s="11" t="s">
        <v>32</v>
      </c>
      <c r="B9" s="12">
        <v>144.59</v>
      </c>
      <c r="C9" s="12">
        <v>0</v>
      </c>
      <c r="D9" s="12">
        <v>0</v>
      </c>
      <c r="E9" s="12">
        <v>144.59</v>
      </c>
      <c r="F9" s="13">
        <v>0</v>
      </c>
      <c r="G9" s="13">
        <v>1</v>
      </c>
      <c r="H9" s="13">
        <v>1.35E-2</v>
      </c>
      <c r="I9" s="11" t="s">
        <v>70</v>
      </c>
    </row>
    <row r="10" spans="1:9" ht="15" x14ac:dyDescent="0.3">
      <c r="A10" s="14" t="s">
        <v>33</v>
      </c>
      <c r="B10" s="15">
        <v>186.35</v>
      </c>
      <c r="C10" s="15">
        <v>0</v>
      </c>
      <c r="D10" s="15">
        <v>0</v>
      </c>
      <c r="E10" s="15">
        <v>186.35</v>
      </c>
      <c r="F10" s="16">
        <v>0</v>
      </c>
      <c r="G10" s="16">
        <v>1</v>
      </c>
      <c r="H10" s="16">
        <v>1.7399999999999999E-2</v>
      </c>
      <c r="I10" s="14" t="s">
        <v>70</v>
      </c>
    </row>
    <row r="11" spans="1:9" ht="15" x14ac:dyDescent="0.3">
      <c r="A11" s="11" t="s">
        <v>34</v>
      </c>
      <c r="B11" s="12">
        <v>295.19</v>
      </c>
      <c r="C11" s="12">
        <v>35</v>
      </c>
      <c r="D11" s="12">
        <v>35</v>
      </c>
      <c r="E11" s="12">
        <v>260.19</v>
      </c>
      <c r="F11" s="13">
        <v>0.1186</v>
      </c>
      <c r="G11" s="13">
        <v>0.88139999999999996</v>
      </c>
      <c r="H11" s="13">
        <v>2.75E-2</v>
      </c>
      <c r="I11" s="11" t="s">
        <v>71</v>
      </c>
    </row>
    <row r="12" spans="1:9" ht="15" x14ac:dyDescent="0.3">
      <c r="A12" s="14" t="s">
        <v>35</v>
      </c>
      <c r="B12" s="15">
        <v>541.25</v>
      </c>
      <c r="C12" s="15">
        <v>105</v>
      </c>
      <c r="D12" s="15">
        <v>105</v>
      </c>
      <c r="E12" s="15">
        <v>436.25</v>
      </c>
      <c r="F12" s="16">
        <v>0.19400000000000001</v>
      </c>
      <c r="G12" s="16">
        <v>0.80600000000000005</v>
      </c>
      <c r="H12" s="16">
        <v>5.04E-2</v>
      </c>
      <c r="I12" s="14" t="s">
        <v>71</v>
      </c>
    </row>
    <row r="13" spans="1:9" ht="15" x14ac:dyDescent="0.3">
      <c r="A13" s="11" t="s">
        <v>36</v>
      </c>
      <c r="B13" s="12">
        <v>739.7</v>
      </c>
      <c r="C13" s="12">
        <v>210</v>
      </c>
      <c r="D13" s="12">
        <v>210</v>
      </c>
      <c r="E13" s="12">
        <v>529.70000000000005</v>
      </c>
      <c r="F13" s="13">
        <v>0.28389999999999999</v>
      </c>
      <c r="G13" s="13">
        <v>0.71609999999999996</v>
      </c>
      <c r="H13" s="13">
        <v>6.8900000000000003E-2</v>
      </c>
      <c r="I13" s="11" t="s">
        <v>71</v>
      </c>
    </row>
    <row r="14" spans="1:9" ht="15" x14ac:dyDescent="0.3">
      <c r="A14" s="14" t="s">
        <v>37</v>
      </c>
      <c r="B14" s="15">
        <v>820.22</v>
      </c>
      <c r="C14" s="15">
        <v>280</v>
      </c>
      <c r="D14" s="15">
        <v>280</v>
      </c>
      <c r="E14" s="15">
        <v>540.22</v>
      </c>
      <c r="F14" s="16">
        <v>0.34139999999999998</v>
      </c>
      <c r="G14" s="16">
        <v>0.65859999999999996</v>
      </c>
      <c r="H14" s="16">
        <v>7.6399999999999996E-2</v>
      </c>
      <c r="I14" s="14" t="s">
        <v>71</v>
      </c>
    </row>
    <row r="15" spans="1:9" ht="15" x14ac:dyDescent="0.3">
      <c r="A15" s="11" t="s">
        <v>38</v>
      </c>
      <c r="B15" s="12">
        <v>820.22</v>
      </c>
      <c r="C15" s="12">
        <v>332.5</v>
      </c>
      <c r="D15" s="12">
        <v>332.5</v>
      </c>
      <c r="E15" s="12">
        <v>487.72</v>
      </c>
      <c r="F15" s="13">
        <v>0.40539999999999998</v>
      </c>
      <c r="G15" s="13">
        <v>0.59460000000000002</v>
      </c>
      <c r="H15" s="13">
        <v>7.6399999999999996E-2</v>
      </c>
      <c r="I15" s="11" t="s">
        <v>71</v>
      </c>
    </row>
    <row r="16" spans="1:9" ht="15" x14ac:dyDescent="0.3">
      <c r="A16" s="14" t="s">
        <v>39</v>
      </c>
      <c r="B16" s="15">
        <v>802.27</v>
      </c>
      <c r="C16" s="15">
        <v>350</v>
      </c>
      <c r="D16" s="15">
        <v>350</v>
      </c>
      <c r="E16" s="15">
        <v>452.27</v>
      </c>
      <c r="F16" s="16">
        <v>0.43630000000000002</v>
      </c>
      <c r="G16" s="16">
        <v>0.56369999999999998</v>
      </c>
      <c r="H16" s="16">
        <v>7.4800000000000005E-2</v>
      </c>
      <c r="I16" s="14" t="s">
        <v>71</v>
      </c>
    </row>
    <row r="17" spans="1:9" ht="15" x14ac:dyDescent="0.3">
      <c r="A17" s="11" t="s">
        <v>40</v>
      </c>
      <c r="B17" s="12">
        <v>784.32</v>
      </c>
      <c r="C17" s="12">
        <v>350</v>
      </c>
      <c r="D17" s="12">
        <v>350</v>
      </c>
      <c r="E17" s="12">
        <v>434.32</v>
      </c>
      <c r="F17" s="13">
        <v>0.44619999999999999</v>
      </c>
      <c r="G17" s="13">
        <v>0.55379999999999996</v>
      </c>
      <c r="H17" s="13">
        <v>7.3099999999999998E-2</v>
      </c>
      <c r="I17" s="11" t="s">
        <v>71</v>
      </c>
    </row>
    <row r="18" spans="1:9" ht="15" x14ac:dyDescent="0.3">
      <c r="A18" s="14" t="s">
        <v>41</v>
      </c>
      <c r="B18" s="15">
        <v>802.27</v>
      </c>
      <c r="C18" s="15">
        <v>332.5</v>
      </c>
      <c r="D18" s="15">
        <v>332.5</v>
      </c>
      <c r="E18" s="15">
        <v>469.77</v>
      </c>
      <c r="F18" s="16">
        <v>0.41439999999999999</v>
      </c>
      <c r="G18" s="16">
        <v>0.58560000000000001</v>
      </c>
      <c r="H18" s="16">
        <v>7.4800000000000005E-2</v>
      </c>
      <c r="I18" s="14" t="s">
        <v>71</v>
      </c>
    </row>
    <row r="19" spans="1:9" ht="15" x14ac:dyDescent="0.3">
      <c r="A19" s="11" t="s">
        <v>42</v>
      </c>
      <c r="B19" s="12">
        <v>820.22</v>
      </c>
      <c r="C19" s="12">
        <v>280</v>
      </c>
      <c r="D19" s="12">
        <v>280</v>
      </c>
      <c r="E19" s="12">
        <v>540.22</v>
      </c>
      <c r="F19" s="13">
        <v>0.34139999999999998</v>
      </c>
      <c r="G19" s="13">
        <v>0.65859999999999996</v>
      </c>
      <c r="H19" s="13">
        <v>7.6399999999999996E-2</v>
      </c>
      <c r="I19" s="11" t="s">
        <v>71</v>
      </c>
    </row>
    <row r="20" spans="1:9" ht="15" x14ac:dyDescent="0.3">
      <c r="A20" s="14" t="s">
        <v>43</v>
      </c>
      <c r="B20" s="15">
        <v>820.22</v>
      </c>
      <c r="C20" s="15">
        <v>210</v>
      </c>
      <c r="D20" s="15">
        <v>210</v>
      </c>
      <c r="E20" s="15">
        <v>610.22</v>
      </c>
      <c r="F20" s="16">
        <v>0.25600000000000001</v>
      </c>
      <c r="G20" s="16">
        <v>0.74399999999999999</v>
      </c>
      <c r="H20" s="16">
        <v>7.6399999999999996E-2</v>
      </c>
      <c r="I20" s="14" t="s">
        <v>71</v>
      </c>
    </row>
    <row r="21" spans="1:9" ht="15" x14ac:dyDescent="0.3">
      <c r="A21" s="11" t="s">
        <v>44</v>
      </c>
      <c r="B21" s="12">
        <v>702.29</v>
      </c>
      <c r="C21" s="12">
        <v>105</v>
      </c>
      <c r="D21" s="12">
        <v>105</v>
      </c>
      <c r="E21" s="12">
        <v>597.29</v>
      </c>
      <c r="F21" s="13">
        <v>0.14949999999999999</v>
      </c>
      <c r="G21" s="13">
        <v>0.85050000000000003</v>
      </c>
      <c r="H21" s="13">
        <v>6.54E-2</v>
      </c>
      <c r="I21" s="11" t="s">
        <v>71</v>
      </c>
    </row>
    <row r="22" spans="1:9" ht="15" x14ac:dyDescent="0.3">
      <c r="A22" s="14" t="s">
        <v>45</v>
      </c>
      <c r="B22" s="15">
        <v>502.35</v>
      </c>
      <c r="C22" s="15">
        <v>35</v>
      </c>
      <c r="D22" s="15">
        <v>35</v>
      </c>
      <c r="E22" s="15">
        <v>467.35</v>
      </c>
      <c r="F22" s="16">
        <v>6.9699999999999998E-2</v>
      </c>
      <c r="G22" s="16">
        <v>0.93030000000000002</v>
      </c>
      <c r="H22" s="16">
        <v>4.6800000000000001E-2</v>
      </c>
      <c r="I22" s="14" t="s">
        <v>71</v>
      </c>
    </row>
    <row r="23" spans="1:9" ht="15" x14ac:dyDescent="0.3">
      <c r="A23" s="11" t="s">
        <v>46</v>
      </c>
      <c r="B23" s="12">
        <v>356.25</v>
      </c>
      <c r="C23" s="12">
        <v>0</v>
      </c>
      <c r="D23" s="12">
        <v>0</v>
      </c>
      <c r="E23" s="12">
        <v>356.25</v>
      </c>
      <c r="F23" s="13">
        <v>0</v>
      </c>
      <c r="G23" s="13">
        <v>1</v>
      </c>
      <c r="H23" s="13">
        <v>3.32E-2</v>
      </c>
      <c r="I23" s="11" t="s">
        <v>70</v>
      </c>
    </row>
    <row r="24" spans="1:9" ht="15" x14ac:dyDescent="0.3">
      <c r="A24" s="14" t="s">
        <v>47</v>
      </c>
      <c r="B24" s="15">
        <v>292.18</v>
      </c>
      <c r="C24" s="15">
        <v>0</v>
      </c>
      <c r="D24" s="15">
        <v>0</v>
      </c>
      <c r="E24" s="15">
        <v>292.18</v>
      </c>
      <c r="F24" s="16">
        <v>0</v>
      </c>
      <c r="G24" s="16">
        <v>1</v>
      </c>
      <c r="H24" s="16">
        <v>2.7199999999999998E-2</v>
      </c>
      <c r="I24" s="14" t="s">
        <v>70</v>
      </c>
    </row>
    <row r="25" spans="1:9" ht="15" x14ac:dyDescent="0.3">
      <c r="A25" s="11" t="s">
        <v>48</v>
      </c>
      <c r="B25" s="12">
        <v>228.11</v>
      </c>
      <c r="C25" s="12">
        <v>0</v>
      </c>
      <c r="D25" s="12">
        <v>0</v>
      </c>
      <c r="E25" s="12">
        <v>228.11</v>
      </c>
      <c r="F25" s="13">
        <v>0</v>
      </c>
      <c r="G25" s="13">
        <v>1</v>
      </c>
      <c r="H25" s="13">
        <v>2.1299999999999999E-2</v>
      </c>
      <c r="I25" s="11" t="s">
        <v>70</v>
      </c>
    </row>
    <row r="26" spans="1:9" ht="15" x14ac:dyDescent="0.3">
      <c r="A26" s="14" t="s">
        <v>49</v>
      </c>
      <c r="B26" s="15">
        <v>186.35</v>
      </c>
      <c r="C26" s="15">
        <v>0</v>
      </c>
      <c r="D26" s="15">
        <v>0</v>
      </c>
      <c r="E26" s="15">
        <v>186.35</v>
      </c>
      <c r="F26" s="16">
        <v>0</v>
      </c>
      <c r="G26" s="16">
        <v>1</v>
      </c>
      <c r="H26" s="16">
        <v>1.7399999999999999E-2</v>
      </c>
      <c r="I26" s="14" t="s">
        <v>70</v>
      </c>
    </row>
    <row r="27" spans="1:9" ht="15" x14ac:dyDescent="0.3">
      <c r="A27" s="11" t="s">
        <v>50</v>
      </c>
      <c r="B27" s="12">
        <v>164.04</v>
      </c>
      <c r="C27" s="12">
        <v>0</v>
      </c>
      <c r="D27" s="12">
        <v>0</v>
      </c>
      <c r="E27" s="12">
        <v>164.04</v>
      </c>
      <c r="F27" s="13">
        <v>0</v>
      </c>
      <c r="G27" s="13">
        <v>1</v>
      </c>
      <c r="H27" s="13">
        <v>1.5299999999999999E-2</v>
      </c>
      <c r="I27" s="11" t="s">
        <v>70</v>
      </c>
    </row>
    <row r="28" spans="1:9" ht="15" x14ac:dyDescent="0.3">
      <c r="A28" s="14" t="s">
        <v>51</v>
      </c>
      <c r="B28" s="15">
        <v>144.59</v>
      </c>
      <c r="C28" s="15">
        <v>0</v>
      </c>
      <c r="D28" s="15">
        <v>0</v>
      </c>
      <c r="E28" s="15">
        <v>144.59</v>
      </c>
      <c r="F28" s="16">
        <v>0</v>
      </c>
      <c r="G28" s="16">
        <v>1</v>
      </c>
      <c r="H28" s="16">
        <v>1.35E-2</v>
      </c>
      <c r="I28" s="14" t="s">
        <v>70</v>
      </c>
    </row>
    <row r="29" spans="1:9" ht="22.5" customHeight="1" x14ac:dyDescent="0.3">
      <c r="A29" s="17" t="s">
        <v>72</v>
      </c>
      <c r="B29" s="18">
        <v>10731.34</v>
      </c>
      <c r="C29" s="18">
        <v>2625</v>
      </c>
      <c r="D29" s="18">
        <v>2625</v>
      </c>
      <c r="E29" s="18">
        <v>8106.34</v>
      </c>
      <c r="F29" s="19">
        <v>0.24460000000000001</v>
      </c>
      <c r="G29" s="19">
        <v>0.75539999999999996</v>
      </c>
      <c r="H29" s="19">
        <v>1</v>
      </c>
      <c r="I29" s="17" t="s">
        <v>73</v>
      </c>
    </row>
    <row r="31" spans="1:9" ht="18.600000000000001" thickBot="1" x14ac:dyDescent="0.4">
      <c r="A31" s="20" t="s">
        <v>74</v>
      </c>
      <c r="B31" s="21" t="s">
        <v>75</v>
      </c>
      <c r="C31" s="21" t="s">
        <v>76</v>
      </c>
      <c r="D31" s="21" t="s">
        <v>53</v>
      </c>
      <c r="E31" s="22" t="s">
        <v>59</v>
      </c>
    </row>
    <row r="32" spans="1:9" ht="18.600000000000001" thickTop="1" x14ac:dyDescent="0.35">
      <c r="A32" s="23">
        <f>MAX(E4:E28)</f>
        <v>610.22</v>
      </c>
      <c r="B32" s="24">
        <f>SUM(E5:E28)</f>
        <v>8106.3400000000011</v>
      </c>
      <c r="C32" s="24">
        <f>B32/24</f>
        <v>337.76416666666671</v>
      </c>
      <c r="D32" s="24">
        <f>C32/A32</f>
        <v>0.55351212131143968</v>
      </c>
      <c r="E32" s="25">
        <f>B32*(2.79*30/10^3)</f>
        <v>678.50065800000004</v>
      </c>
    </row>
  </sheetData>
  <mergeCells count="2">
    <mergeCell ref="A1:I1"/>
    <mergeCell ref="A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 Schedule Summary</vt:lpstr>
      <vt:lpstr>24-Hour Load Profile</vt:lpstr>
      <vt:lpstr>solar gen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محمد وليد حامدين عبداللا</cp:lastModifiedBy>
  <cp:revision/>
  <dcterms:created xsi:type="dcterms:W3CDTF">2026-10-12T13:24:45Z</dcterms:created>
  <dcterms:modified xsi:type="dcterms:W3CDTF">2026-10-16T21:15:02Z</dcterms:modified>
  <cp:category/>
  <cp:contentStatus/>
</cp:coreProperties>
</file>